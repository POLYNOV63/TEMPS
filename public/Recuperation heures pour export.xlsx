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zoul\Documents\POLYNOV\polynov-temps\public\"/>
    </mc:Choice>
  </mc:AlternateContent>
  <xr:revisionPtr revIDLastSave="0" documentId="13_ncr:1_{6E58DF0C-F2C7-42A0-8350-3C803E1B9FEB}" xr6:coauthVersionLast="47" xr6:coauthVersionMax="47" xr10:uidLastSave="{00000000-0000-0000-0000-000000000000}"/>
  <bookViews>
    <workbookView xWindow="28680" yWindow="-120" windowWidth="29040" windowHeight="15720" tabRatio="788" xr2:uid="{00000000-000D-0000-FFFF-FFFF00000000}"/>
  </bookViews>
  <sheets>
    <sheet name="Gabarit" sheetId="2" r:id="rId1"/>
    <sheet name="S39-2026" sheetId="112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51" i="1125" l="1"/>
  <c r="D149" i="1125"/>
  <c r="D148" i="1125"/>
  <c r="D147" i="1125"/>
  <c r="D146" i="1125"/>
  <c r="D145" i="1125"/>
  <c r="D144" i="1125"/>
  <c r="D143" i="1125"/>
  <c r="D142" i="1125"/>
  <c r="D141" i="1125"/>
  <c r="D140" i="1125"/>
  <c r="D139" i="1125"/>
  <c r="D138" i="1125"/>
  <c r="D152" i="1125" s="1"/>
  <c r="D135" i="1125"/>
  <c r="D133" i="1125"/>
  <c r="D136" i="1125" s="1"/>
  <c r="D129" i="1125"/>
  <c r="D126" i="1125"/>
  <c r="D130" i="1125" s="1"/>
  <c r="D123" i="1125"/>
  <c r="D121" i="1125"/>
  <c r="D120" i="1125"/>
  <c r="D119" i="1125"/>
  <c r="D124" i="1125" s="1"/>
  <c r="D118" i="1125"/>
  <c r="D117" i="1125"/>
  <c r="D114" i="1125"/>
  <c r="D112" i="1125"/>
  <c r="D111" i="1125"/>
  <c r="D110" i="1125"/>
  <c r="D109" i="1125"/>
  <c r="D108" i="1125"/>
  <c r="D115" i="1125" s="1"/>
  <c r="D105" i="1125"/>
  <c r="D103" i="1125"/>
  <c r="D102" i="1125"/>
  <c r="D101" i="1125"/>
  <c r="D100" i="1125"/>
  <c r="D98" i="1125"/>
  <c r="D106" i="1125" s="1"/>
  <c r="D95" i="1125"/>
  <c r="D92" i="1125"/>
  <c r="D96" i="1125" s="1"/>
  <c r="D89" i="1125"/>
  <c r="D86" i="1125"/>
  <c r="D90" i="1125" s="1"/>
  <c r="D83" i="1125"/>
  <c r="D81" i="1125"/>
  <c r="D78" i="1125"/>
  <c r="D76" i="1125"/>
  <c r="D84" i="1125" s="1"/>
  <c r="D73" i="1125"/>
  <c r="D70" i="1125"/>
  <c r="D74" i="1125" s="1"/>
  <c r="D67" i="1125"/>
  <c r="D64" i="1125"/>
  <c r="D68" i="1125" s="1"/>
  <c r="D61" i="1125"/>
  <c r="D58" i="1125"/>
  <c r="D62" i="1125" s="1"/>
  <c r="D55" i="1125"/>
  <c r="D56" i="1125"/>
  <c r="D52" i="1125"/>
  <c r="D49" i="1125"/>
  <c r="D47" i="1125"/>
  <c r="D46" i="1125"/>
  <c r="D45" i="1125"/>
  <c r="D50" i="1125" s="1"/>
  <c r="D42" i="1125"/>
  <c r="D39" i="1125"/>
  <c r="D43" i="1125" s="1"/>
  <c r="D36" i="1125"/>
  <c r="D33" i="1125"/>
  <c r="D37" i="1125" s="1"/>
  <c r="D30" i="1125"/>
  <c r="D27" i="1125"/>
  <c r="D31" i="1125" s="1"/>
  <c r="D24" i="1125"/>
  <c r="D21" i="1125"/>
  <c r="D25" i="1125" s="1"/>
  <c r="D18" i="1125"/>
  <c r="D16" i="1125"/>
  <c r="D15" i="1125"/>
  <c r="D14" i="1125"/>
  <c r="D13" i="1125"/>
  <c r="D12" i="1125"/>
  <c r="D19" i="1125" s="1"/>
  <c r="D9" i="1125"/>
  <c r="D7" i="1125"/>
  <c r="D5" i="1125"/>
  <c r="D4" i="1125"/>
  <c r="D10" i="1125" s="1"/>
  <c r="BB1" i="1125"/>
  <c r="AZ1" i="1125"/>
  <c r="AX1" i="1125"/>
  <c r="AV1" i="1125"/>
  <c r="AT1" i="1125"/>
  <c r="AR1" i="1125"/>
  <c r="AP1" i="1125"/>
  <c r="BB1" i="2" l="1"/>
  <c r="AZ1" i="2"/>
  <c r="AX1" i="2"/>
  <c r="AV1" i="2"/>
  <c r="AT1" i="2"/>
  <c r="AR1" i="2"/>
  <c r="AP1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</author>
    <author>Pierre-Laurent</author>
    <author>Mathieu MONTBRIZON</author>
    <author>plgaufier</author>
  </authors>
  <commentList>
    <comment ref="B1" authorId="0" shapeId="0" xr:uid="{FB77C44B-40FC-48EA-BCE7-FA6DF339D9F1}">
      <text>
        <r>
          <rPr>
            <sz val="14"/>
            <color indexed="81"/>
            <rFont val="Calibri"/>
            <family val="2"/>
            <scheme val="minor"/>
          </rPr>
          <t>Année</t>
        </r>
      </text>
    </comment>
    <comment ref="B2" authorId="0" shapeId="0" xr:uid="{F81697EE-3C57-45AE-AB75-A74B9DEED616}">
      <text>
        <r>
          <rPr>
            <sz val="12"/>
            <color indexed="81"/>
            <rFont val="Calibri"/>
            <family val="2"/>
            <scheme val="minor"/>
          </rPr>
          <t>Semaine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2" authorId="1" shapeId="0" xr:uid="{E3CE7690-F75B-4D6F-A16C-9C72F7FFD0FF}">
      <text>
        <r>
          <rPr>
            <sz val="9"/>
            <color indexed="81"/>
            <rFont val="Tahoma"/>
            <family val="2"/>
          </rPr>
          <t>Etude Mécanique</t>
        </r>
      </text>
    </comment>
    <comment ref="F2" authorId="1" shapeId="0" xr:uid="{B8D3ED20-32C3-4378-B85B-54A8048CCD8E}">
      <text>
        <r>
          <rPr>
            <sz val="9"/>
            <color indexed="81"/>
            <rFont val="Tahoma"/>
            <family val="2"/>
          </rPr>
          <t>Réalisation (câblage, montage, ...)</t>
        </r>
      </text>
    </comment>
    <comment ref="G2" authorId="1" shapeId="0" xr:uid="{C542350C-353A-4AB5-8F42-027D73F80DFF}">
      <text>
        <r>
          <rPr>
            <sz val="9"/>
            <color indexed="81"/>
            <rFont val="Tahoma"/>
            <family val="2"/>
          </rPr>
          <t>Informatique</t>
        </r>
      </text>
    </comment>
    <comment ref="H2" authorId="1" shapeId="0" xr:uid="{0B5D0838-9E1D-44DD-8F5F-CB718A78B53C}">
      <text>
        <r>
          <rPr>
            <sz val="9"/>
            <color indexed="81"/>
            <rFont val="Tahoma"/>
            <family val="2"/>
          </rPr>
          <t>Impression 3D</t>
        </r>
      </text>
    </comment>
    <comment ref="I2" authorId="1" shapeId="0" xr:uid="{026D0A1A-5497-4E49-9278-3333760A529E}">
      <text>
        <r>
          <rPr>
            <sz val="9"/>
            <color indexed="81"/>
            <rFont val="Tahoma"/>
            <family val="2"/>
          </rPr>
          <t>Mise en plan</t>
        </r>
      </text>
    </comment>
    <comment ref="J2" authorId="1" shapeId="0" xr:uid="{FBF8740E-6435-41B5-993B-731162540EA5}">
      <text>
        <r>
          <rPr>
            <sz val="9"/>
            <color indexed="81"/>
            <rFont val="Tahoma"/>
            <family val="2"/>
          </rPr>
          <t>Reunion</t>
        </r>
      </text>
    </comment>
    <comment ref="K2" authorId="1" shapeId="0" xr:uid="{48902E4E-CEC6-4974-ADBC-D7AC0A215FF8}">
      <text>
        <r>
          <rPr>
            <sz val="9"/>
            <color indexed="81"/>
            <rFont val="Tahoma"/>
            <family val="2"/>
          </rPr>
          <t>Devis technique</t>
        </r>
      </text>
    </comment>
    <comment ref="L2" authorId="1" shapeId="0" xr:uid="{43634B94-69FB-4C8C-A6F5-B8F60A2E6819}">
      <text>
        <r>
          <rPr>
            <sz val="9"/>
            <color indexed="81"/>
            <rFont val="Tahoma"/>
            <family val="2"/>
          </rPr>
          <t xml:space="preserve">Préparation Formation
</t>
        </r>
      </text>
    </comment>
    <comment ref="M2" authorId="1" shapeId="0" xr:uid="{2D5AD947-FA6B-406A-8F4B-0EBBE330CC7C}">
      <text>
        <r>
          <rPr>
            <sz val="9"/>
            <color indexed="81"/>
            <rFont val="Tahoma"/>
            <family val="2"/>
          </rPr>
          <t>Dossier mécanique</t>
        </r>
      </text>
    </comment>
    <comment ref="N2" authorId="1" shapeId="0" xr:uid="{95A27D9F-A80A-4F3B-B26D-C951E5092C51}">
      <text>
        <r>
          <rPr>
            <sz val="9"/>
            <color indexed="81"/>
            <rFont val="Tahoma"/>
            <family val="2"/>
          </rPr>
          <t>Suivi d'affaires</t>
        </r>
      </text>
    </comment>
    <comment ref="O2" authorId="1" shapeId="0" xr:uid="{EF9F1439-7542-48A3-BB2C-B9D725EF3314}">
      <text>
        <r>
          <rPr>
            <sz val="9"/>
            <color indexed="81"/>
            <rFont val="Tahoma"/>
            <family val="2"/>
          </rPr>
          <t>Livraison</t>
        </r>
      </text>
    </comment>
    <comment ref="P2" authorId="1" shapeId="0" xr:uid="{8050E643-2C54-4CFB-97FD-75B3953FDECC}">
      <text>
        <r>
          <rPr>
            <sz val="9"/>
            <color indexed="81"/>
            <rFont val="Tahoma"/>
            <family val="2"/>
          </rPr>
          <t>Etude electrique</t>
        </r>
      </text>
    </comment>
    <comment ref="Q2" authorId="1" shapeId="0" xr:uid="{A176DF2E-A819-42C5-AE7B-151CDA8AC33E}">
      <text>
        <r>
          <rPr>
            <sz val="9"/>
            <color indexed="81"/>
            <rFont val="Tahoma"/>
            <family val="2"/>
          </rPr>
          <t>Etude pneumatique</t>
        </r>
      </text>
    </comment>
    <comment ref="R2" authorId="1" shapeId="0" xr:uid="{5F18035E-A668-4EA1-84AC-B2CDCF2901DF}">
      <text>
        <r>
          <rPr>
            <sz val="9"/>
            <color indexed="81"/>
            <rFont val="Tahoma"/>
            <family val="2"/>
          </rPr>
          <t>Contrôle</t>
        </r>
      </text>
    </comment>
    <comment ref="S2" authorId="1" shapeId="0" xr:uid="{E224AA3D-32AF-47C5-A50A-F71B93C58662}">
      <text>
        <r>
          <rPr>
            <sz val="9"/>
            <color indexed="81"/>
            <rFont val="Tahoma"/>
            <family val="2"/>
          </rPr>
          <t>Calcul Mécanique</t>
        </r>
      </text>
    </comment>
    <comment ref="T2" authorId="1" shapeId="0" xr:uid="{D6C6294C-A5B3-4F29-B2DB-A2FFB5B8D7F8}">
      <text>
        <r>
          <rPr>
            <sz val="9"/>
            <color indexed="81"/>
            <rFont val="Tahoma"/>
            <family val="2"/>
          </rPr>
          <t>Expertise Technique</t>
        </r>
      </text>
    </comment>
    <comment ref="U2" authorId="1" shapeId="0" xr:uid="{F36FD208-C399-4E06-B676-63EBF28252E4}">
      <text>
        <r>
          <rPr>
            <sz val="9"/>
            <color indexed="81"/>
            <rFont val="Tahoma"/>
            <family val="2"/>
          </rPr>
          <t>Heures trajet</t>
        </r>
      </text>
    </comment>
    <comment ref="V2" authorId="1" shapeId="0" xr:uid="{19EFF42B-E093-4290-B4CB-3BCE76E72923}">
      <text>
        <r>
          <rPr>
            <sz val="9"/>
            <color indexed="81"/>
            <rFont val="Tahoma"/>
            <family val="2"/>
          </rPr>
          <t>Base de donnée</t>
        </r>
      </text>
    </comment>
    <comment ref="W2" authorId="1" shapeId="0" xr:uid="{DB9EE6B4-EBF9-4548-8E56-3C64CE2A0AAC}">
      <text>
        <r>
          <rPr>
            <sz val="10"/>
            <color indexed="81"/>
            <rFont val="Tahoma"/>
            <family val="2"/>
          </rPr>
          <t>Relevé sur site (Prise de cote)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X2" authorId="2" shapeId="0" xr:uid="{8690F500-0D84-484C-B86B-DB8FB9AA7A30}">
      <text>
        <r>
          <rPr>
            <b/>
            <sz val="9"/>
            <color indexed="81"/>
            <rFont val="Tahoma"/>
            <family val="2"/>
          </rPr>
          <t>Mathieu MONTBRIZON:</t>
        </r>
        <r>
          <rPr>
            <sz val="9"/>
            <color indexed="81"/>
            <rFont val="Tahoma"/>
            <family val="2"/>
          </rPr>
          <t xml:space="preserve">
Non conformité</t>
        </r>
      </text>
    </comment>
    <comment ref="Y2" authorId="1" shapeId="0" xr:uid="{54358377-3102-48FE-AF53-788551CF6170}">
      <text>
        <r>
          <rPr>
            <sz val="9"/>
            <color indexed="81"/>
            <rFont val="Tahoma"/>
            <family val="2"/>
          </rPr>
          <t>Tel Que Construit</t>
        </r>
      </text>
    </comment>
    <comment ref="Z2" authorId="1" shapeId="0" xr:uid="{B8D2D901-27E8-4852-AA1E-3070521F221A}">
      <text>
        <r>
          <rPr>
            <sz val="9"/>
            <color indexed="81"/>
            <rFont val="Tahoma"/>
            <family val="2"/>
          </rPr>
          <t>Non imputable</t>
        </r>
      </text>
    </comment>
    <comment ref="AA2" authorId="1" shapeId="0" xr:uid="{8906F9B4-1A1E-4037-A89C-48B54CC63C11}">
      <text>
        <r>
          <rPr>
            <sz val="9"/>
            <color indexed="81"/>
            <rFont val="Tahoma"/>
            <family val="2"/>
          </rPr>
          <t>Congés payés</t>
        </r>
      </text>
    </comment>
    <comment ref="AB2" authorId="1" shapeId="0" xr:uid="{E7B7A5E9-D1A8-494B-91E2-9B0C87D0BF69}">
      <text>
        <r>
          <rPr>
            <sz val="9"/>
            <color indexed="81"/>
            <rFont val="Tahoma"/>
            <family val="2"/>
          </rPr>
          <t>Maladie</t>
        </r>
      </text>
    </comment>
    <comment ref="AC2" authorId="1" shapeId="0" xr:uid="{F94B43DE-C143-436C-8DB8-FF0A4C990BDC}">
      <text>
        <r>
          <rPr>
            <sz val="9"/>
            <color indexed="81"/>
            <rFont val="Tahoma"/>
            <family val="2"/>
          </rPr>
          <t>Formations, salon...</t>
        </r>
      </text>
    </comment>
    <comment ref="AD2" authorId="1" shapeId="0" xr:uid="{0260CCC6-480A-4186-840F-823687E07F7F}">
      <text>
        <r>
          <rPr>
            <sz val="9"/>
            <color indexed="81"/>
            <rFont val="Tahoma"/>
            <family val="2"/>
          </rPr>
          <t>Récupération</t>
        </r>
      </text>
    </comment>
    <comment ref="AE2" authorId="1" shapeId="0" xr:uid="{672680CD-572A-4149-A30D-61BFEB76BF13}">
      <text>
        <r>
          <rPr>
            <sz val="9"/>
            <color indexed="81"/>
            <rFont val="Tahoma"/>
            <family val="2"/>
          </rPr>
          <t>Absence autorisée</t>
        </r>
      </text>
    </comment>
    <comment ref="AF2" authorId="1" shapeId="0" xr:uid="{08F44440-12E4-419A-9457-096538AC6EA1}">
      <text>
        <r>
          <rPr>
            <sz val="9"/>
            <color indexed="81"/>
            <rFont val="Tahoma"/>
            <family val="2"/>
          </rPr>
          <t>Accident du travail</t>
        </r>
      </text>
    </comment>
    <comment ref="AG2" authorId="1" shapeId="0" xr:uid="{5EA46AC1-59A6-460F-8111-DC915ABF5FF9}">
      <text>
        <r>
          <rPr>
            <sz val="9"/>
            <color indexed="81"/>
            <rFont val="Tahoma"/>
            <family val="2"/>
          </rPr>
          <t>Absence injustifiée</t>
        </r>
      </text>
    </comment>
    <comment ref="AH2" authorId="1" shapeId="0" xr:uid="{979AFDC5-510D-4003-BD14-7CD89240554F}">
      <text>
        <r>
          <rPr>
            <sz val="9"/>
            <color indexed="81"/>
            <rFont val="Tahoma"/>
            <family val="2"/>
          </rPr>
          <t>Formation interne</t>
        </r>
      </text>
    </comment>
    <comment ref="AI2" authorId="1" shapeId="0" xr:uid="{7F47A39F-29B4-4199-8CBE-0D634D8210B9}">
      <text>
        <r>
          <rPr>
            <sz val="9"/>
            <color indexed="81"/>
            <rFont val="Tahoma"/>
            <family val="2"/>
          </rPr>
          <t>Férié</t>
        </r>
      </text>
    </comment>
    <comment ref="AJ2" authorId="2" shapeId="0" xr:uid="{327E242B-83A3-4F4F-BFF8-6D7E8BE43456}">
      <text>
        <r>
          <rPr>
            <b/>
            <sz val="9"/>
            <color indexed="81"/>
            <rFont val="Tahoma"/>
            <family val="2"/>
          </rPr>
          <t>Mathieu MONTBRIZON:</t>
        </r>
        <r>
          <rPr>
            <sz val="9"/>
            <color indexed="81"/>
            <rFont val="Tahoma"/>
            <family val="2"/>
          </rPr>
          <t xml:space="preserve">
Achats</t>
        </r>
      </text>
    </comment>
    <comment ref="AK2" authorId="1" shapeId="0" xr:uid="{5FCA3958-652E-46A0-824C-75354A9D92AF}">
      <text>
        <r>
          <rPr>
            <sz val="9"/>
            <color indexed="81"/>
            <rFont val="Tahoma"/>
            <family val="2"/>
          </rPr>
          <t>Visite médicale</t>
        </r>
      </text>
    </comment>
    <comment ref="AL2" authorId="1" shapeId="0" xr:uid="{5B707BA9-3573-4D62-89E3-B268A414AD13}">
      <text>
        <r>
          <rPr>
            <sz val="11"/>
            <color indexed="81"/>
            <rFont val="Calibri"/>
            <family val="2"/>
            <scheme val="minor"/>
          </rPr>
          <t xml:space="preserve">Communication
</t>
        </r>
      </text>
    </comment>
    <comment ref="AM2" authorId="1" shapeId="0" xr:uid="{26169C41-D586-4D4C-8123-3884164BD3B6}">
      <text>
        <r>
          <rPr>
            <sz val="11"/>
            <color indexed="81"/>
            <rFont val="Calibri"/>
            <family val="2"/>
            <scheme val="minor"/>
          </rPr>
          <t>Gestion I3D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N2" authorId="2" shapeId="0" xr:uid="{9EE58D8A-90C4-4481-8C59-4231F0701281}">
      <text>
        <r>
          <rPr>
            <b/>
            <sz val="9"/>
            <color indexed="81"/>
            <rFont val="Tahoma"/>
            <family val="2"/>
          </rPr>
          <t>Mathieu MONTBRIZON:</t>
        </r>
        <r>
          <rPr>
            <sz val="9"/>
            <color indexed="81"/>
            <rFont val="Tahoma"/>
            <family val="2"/>
          </rPr>
          <t xml:space="preserve">
Ecole (cours pour les alternants)
</t>
        </r>
      </text>
    </comment>
    <comment ref="AO2" authorId="3" shapeId="0" xr:uid="{FD339674-7F06-4BDA-B1C7-6A0D499760DF}">
      <text>
        <r>
          <rPr>
            <sz val="9"/>
            <color indexed="81"/>
            <rFont val="Tahoma"/>
            <family val="2"/>
          </rPr>
          <t>Activité Partielle</t>
        </r>
      </text>
    </comment>
  </commentList>
</comments>
</file>

<file path=xl/sharedStrings.xml><?xml version="1.0" encoding="utf-8"?>
<sst xmlns="http://schemas.openxmlformats.org/spreadsheetml/2006/main" count="378" uniqueCount="119">
  <si>
    <t>EM</t>
  </si>
  <si>
    <t>MP</t>
  </si>
  <si>
    <t>IF</t>
  </si>
  <si>
    <t>IM</t>
  </si>
  <si>
    <t>RN</t>
  </si>
  <si>
    <t>DT</t>
  </si>
  <si>
    <t>DM</t>
  </si>
  <si>
    <t>SU</t>
  </si>
  <si>
    <t>LI</t>
  </si>
  <si>
    <t>EE</t>
  </si>
  <si>
    <t>EP</t>
  </si>
  <si>
    <t>CO</t>
  </si>
  <si>
    <t>CM</t>
  </si>
  <si>
    <t>ET</t>
  </si>
  <si>
    <t>CODES AFFAIRES</t>
  </si>
  <si>
    <t>CP</t>
  </si>
  <si>
    <t>ML</t>
  </si>
  <si>
    <t>FO</t>
  </si>
  <si>
    <t>RE</t>
  </si>
  <si>
    <t>AA</t>
  </si>
  <si>
    <t>HT</t>
  </si>
  <si>
    <t>AT</t>
  </si>
  <si>
    <t>AI</t>
  </si>
  <si>
    <t>FI</t>
  </si>
  <si>
    <t>CODES ADMINISTRATIF</t>
  </si>
  <si>
    <t>FE</t>
  </si>
  <si>
    <t>VM</t>
  </si>
  <si>
    <t>Nom</t>
  </si>
  <si>
    <t>N°</t>
  </si>
  <si>
    <t>Heures Effectuées</t>
  </si>
  <si>
    <t>Heures</t>
  </si>
  <si>
    <t>Code</t>
  </si>
  <si>
    <t>BD</t>
  </si>
  <si>
    <t>CN</t>
  </si>
  <si>
    <t>GI</t>
  </si>
  <si>
    <t xml:space="preserve">Divers </t>
  </si>
  <si>
    <t>TOTAL</t>
  </si>
  <si>
    <t>HEURES SUP</t>
  </si>
  <si>
    <t>NI</t>
  </si>
  <si>
    <t>HA</t>
  </si>
  <si>
    <t>RS</t>
  </si>
  <si>
    <t>TQ</t>
  </si>
  <si>
    <t>39</t>
  </si>
  <si>
    <t>AP</t>
  </si>
  <si>
    <t>Absent</t>
  </si>
  <si>
    <t>Télétravail</t>
  </si>
  <si>
    <t>Présentiel</t>
  </si>
  <si>
    <t>H/Jour</t>
  </si>
  <si>
    <t>NC</t>
  </si>
  <si>
    <t>2,5 H sur compteur</t>
  </si>
  <si>
    <t>1 H sur compteur</t>
  </si>
  <si>
    <t>4 TR</t>
  </si>
  <si>
    <t>5 TR</t>
  </si>
  <si>
    <t>3 TR</t>
  </si>
  <si>
    <t>0 jour(s) TT</t>
  </si>
  <si>
    <t>1 jour(s) TT</t>
  </si>
  <si>
    <t>3 jour(s) TT</t>
  </si>
  <si>
    <t>2 jour(s) TT</t>
  </si>
  <si>
    <t>0 TR</t>
  </si>
  <si>
    <t>CBE 1487</t>
  </si>
  <si>
    <t>BERNARD Bastien</t>
  </si>
  <si>
    <t>CADELL Eddie</t>
  </si>
  <si>
    <t>COLLOT Maxence</t>
  </si>
  <si>
    <t>DE FREITAS Thomas</t>
  </si>
  <si>
    <t>FERNANDES Daniel</t>
  </si>
  <si>
    <t>GAUFIER Pierre-Laurent</t>
  </si>
  <si>
    <t>HERDT Pascal</t>
  </si>
  <si>
    <t>IDELON Kévin</t>
  </si>
  <si>
    <t>LAJUS Anthony</t>
  </si>
  <si>
    <t>MONTBRIZON Mathieu</t>
  </si>
  <si>
    <t>PISSAVIN Kévin</t>
  </si>
  <si>
    <t>RAYMOND Nicolas</t>
  </si>
  <si>
    <t>VALENTIN Thierry</t>
  </si>
  <si>
    <t>VILLENEUVE Fabien</t>
  </si>
  <si>
    <t>DELCROS Frédéric</t>
  </si>
  <si>
    <t>MAUBERT Amélie</t>
  </si>
  <si>
    <t>EC</t>
  </si>
  <si>
    <t>COMBE Eric</t>
  </si>
  <si>
    <t>CBE 1559</t>
  </si>
  <si>
    <t>SC</t>
  </si>
  <si>
    <t>BLINEAU Clément</t>
  </si>
  <si>
    <t>CBE 1624</t>
  </si>
  <si>
    <t>MAZIER Antoine</t>
  </si>
  <si>
    <t>2026</t>
  </si>
  <si>
    <t>CBE 1667</t>
  </si>
  <si>
    <t>CBE 1666</t>
  </si>
  <si>
    <t>DBE 2835</t>
  </si>
  <si>
    <t>CBE 1688</t>
  </si>
  <si>
    <t>LECLERCQ Dimitri</t>
  </si>
  <si>
    <t>CBE 1716</t>
  </si>
  <si>
    <t>CBE 1717</t>
  </si>
  <si>
    <t>CBE 1715</t>
  </si>
  <si>
    <t>CBE 1725</t>
  </si>
  <si>
    <t>CBE 1732</t>
  </si>
  <si>
    <t>CBE 1707</t>
  </si>
  <si>
    <t>CBE 1735</t>
  </si>
  <si>
    <t>CBE 1733</t>
  </si>
  <si>
    <t>DBE 2919</t>
  </si>
  <si>
    <t>DBE 2923</t>
  </si>
  <si>
    <t>RL</t>
  </si>
  <si>
    <t>CBE 1742</t>
  </si>
  <si>
    <t>CBE 1741</t>
  </si>
  <si>
    <t>CBE 1748</t>
  </si>
  <si>
    <t>CBE 1747</t>
  </si>
  <si>
    <t>CBE 1745</t>
  </si>
  <si>
    <t>CBE 1751</t>
  </si>
  <si>
    <t>DBE 2944</t>
  </si>
  <si>
    <t>CBE 1754</t>
  </si>
  <si>
    <t>CBE 1753</t>
  </si>
  <si>
    <t>CBE 1755</t>
  </si>
  <si>
    <t>CBE 1757</t>
  </si>
  <si>
    <t>CBE 1750</t>
  </si>
  <si>
    <t>DBE 2958</t>
  </si>
  <si>
    <t>CBE 1762</t>
  </si>
  <si>
    <t>DBE 2959</t>
  </si>
  <si>
    <t>CBE 1761</t>
  </si>
  <si>
    <t>CBE 1752</t>
  </si>
  <si>
    <t>DBE 2957</t>
  </si>
  <si>
    <t>CBE 1759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</si>
</sst>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9"/>
      <color indexed="81"/>
      <name val="Tahoma"/>
      <family val="2"/>
    </font>
    <font>
      <u/>
      <sz val="11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2"/>
      <color indexed="81"/>
      <name val="Calibri"/>
      <family val="2"/>
      <scheme val="minor"/>
    </font>
    <font>
      <sz val="14"/>
      <color indexed="81"/>
      <name val="Calibri"/>
      <family val="2"/>
      <scheme val="minor"/>
    </font>
    <font>
      <sz val="11"/>
      <color indexed="8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1"/>
      <name val="Tahoma"/>
      <family val="2"/>
    </font>
    <font>
      <b/>
      <sz val="9"/>
      <color indexed="81"/>
      <name val="Tahoma"/>
      <family val="2"/>
    </font>
  </fonts>
  <fills count="12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ashDotDot">
        <color theme="5" tint="-0.24994659260841701"/>
      </left>
      <right style="thin">
        <color indexed="64"/>
      </right>
      <top style="dashDotDot">
        <color theme="5" tint="-0.24994659260841701"/>
      </top>
      <bottom style="dashDotDot">
        <color theme="5" tint="-0.24994659260841701"/>
      </bottom>
      <diagonal/>
    </border>
    <border>
      <left style="thin">
        <color indexed="64"/>
      </left>
      <right style="thin">
        <color indexed="64"/>
      </right>
      <top style="dashDotDot">
        <color theme="5" tint="-0.24994659260841701"/>
      </top>
      <bottom style="dashDotDot">
        <color theme="5" tint="-0.24994659260841701"/>
      </bottom>
      <diagonal/>
    </border>
    <border>
      <left/>
      <right style="thin">
        <color indexed="64"/>
      </right>
      <top style="dashDotDot">
        <color theme="5" tint="-0.24994659260841701"/>
      </top>
      <bottom style="dashDotDot">
        <color theme="5" tint="-0.24994659260841701"/>
      </bottom>
      <diagonal/>
    </border>
    <border>
      <left style="thin">
        <color indexed="64"/>
      </left>
      <right style="dashDotDot">
        <color theme="5" tint="-0.24994659260841701"/>
      </right>
      <top style="dashDotDot">
        <color theme="5" tint="-0.24994659260841701"/>
      </top>
      <bottom style="dashDotDot">
        <color theme="5" tint="-0.24994659260841701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ashDotDot">
        <color theme="5" tint="-0.24994659260841701"/>
      </left>
      <right style="thin">
        <color indexed="64"/>
      </right>
      <top/>
      <bottom style="dashDotDot">
        <color theme="5" tint="-0.24994659260841701"/>
      </bottom>
      <diagonal/>
    </border>
    <border>
      <left style="thin">
        <color indexed="64"/>
      </left>
      <right style="thin">
        <color indexed="64"/>
      </right>
      <top/>
      <bottom style="dashDotDot">
        <color theme="5" tint="-0.24994659260841701"/>
      </bottom>
      <diagonal/>
    </border>
    <border>
      <left/>
      <right style="thin">
        <color indexed="64"/>
      </right>
      <top/>
      <bottom style="dashDotDot">
        <color theme="5" tint="-0.24994659260841701"/>
      </bottom>
      <diagonal/>
    </border>
    <border>
      <left style="thin">
        <color indexed="64"/>
      </left>
      <right style="dashDotDot">
        <color theme="5" tint="-0.24994659260841701"/>
      </right>
      <top/>
      <bottom style="dashDotDot">
        <color theme="5" tint="-0.24994659260841701"/>
      </bottom>
      <diagonal/>
    </border>
    <border>
      <left style="thin">
        <color indexed="64"/>
      </left>
      <right/>
      <top style="dashDotDot">
        <color theme="5" tint="-0.24994659260841701"/>
      </top>
      <bottom style="dashDotDot">
        <color theme="5" tint="-0.24994659260841701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73">
    <xf numFmtId="0" fontId="0" fillId="0" borderId="0" xfId="0"/>
    <xf numFmtId="0" fontId="0" fillId="0" borderId="0" xfId="0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7" borderId="2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center" vertical="center" textRotation="90"/>
    </xf>
    <xf numFmtId="0" fontId="5" fillId="7" borderId="2" xfId="1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0" fillId="5" borderId="6" xfId="0" applyFill="1" applyBorder="1" applyAlignment="1">
      <alignment horizontal="center" vertical="center"/>
    </xf>
    <xf numFmtId="0" fontId="11" fillId="4" borderId="6" xfId="0" applyFont="1" applyFill="1" applyBorder="1" applyAlignment="1">
      <alignment horizontal="center" vertical="center"/>
    </xf>
    <xf numFmtId="0" fontId="11" fillId="6" borderId="6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8" borderId="6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11" fillId="4" borderId="12" xfId="0" applyFont="1" applyFill="1" applyBorder="1" applyAlignment="1">
      <alignment horizontal="center" vertical="center"/>
    </xf>
    <xf numFmtId="0" fontId="11" fillId="6" borderId="13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8" borderId="13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8" borderId="5" xfId="0" applyFill="1" applyBorder="1" applyAlignment="1">
      <alignment horizontal="center" vertical="center"/>
    </xf>
    <xf numFmtId="0" fontId="11" fillId="8" borderId="15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6" borderId="19" xfId="0" applyFont="1" applyFill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1" fillId="2" borderId="20" xfId="0" applyFont="1" applyFill="1" applyBorder="1" applyAlignment="1">
      <alignment horizontal="center" vertical="center"/>
    </xf>
    <xf numFmtId="0" fontId="11" fillId="8" borderId="19" xfId="0" applyFont="1" applyFill="1" applyBorder="1" applyAlignment="1">
      <alignment horizontal="center" vertical="center"/>
    </xf>
    <xf numFmtId="0" fontId="11" fillId="8" borderId="21" xfId="0" applyFont="1" applyFill="1" applyBorder="1" applyAlignment="1">
      <alignment horizontal="center" vertical="center"/>
    </xf>
    <xf numFmtId="0" fontId="11" fillId="2" borderId="19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0" fontId="7" fillId="7" borderId="5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 wrapText="1"/>
    </xf>
    <xf numFmtId="0" fontId="0" fillId="6" borderId="6" xfId="0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14" fontId="0" fillId="8" borderId="7" xfId="0" applyNumberFormat="1" applyFill="1" applyBorder="1" applyAlignment="1">
      <alignment horizontal="center" vertical="center" wrapText="1"/>
    </xf>
    <xf numFmtId="14" fontId="0" fillId="8" borderId="5" xfId="0" applyNumberFormat="1" applyFill="1" applyBorder="1" applyAlignment="1">
      <alignment horizontal="center" vertical="center" wrapText="1"/>
    </xf>
    <xf numFmtId="14" fontId="0" fillId="2" borderId="10" xfId="0" applyNumberFormat="1" applyFill="1" applyBorder="1" applyAlignment="1">
      <alignment horizontal="center" vertical="center" wrapText="1"/>
    </xf>
    <xf numFmtId="14" fontId="0" fillId="2" borderId="4" xfId="0" applyNumberFormat="1" applyFill="1" applyBorder="1" applyAlignment="1">
      <alignment horizontal="center" vertical="center" wrapText="1"/>
    </xf>
    <xf numFmtId="14" fontId="0" fillId="0" borderId="7" xfId="0" applyNumberFormat="1" applyBorder="1" applyAlignment="1">
      <alignment horizontal="center" vertical="center" wrapText="1"/>
    </xf>
    <xf numFmtId="14" fontId="0" fillId="0" borderId="5" xfId="0" applyNumberFormat="1" applyBorder="1" applyAlignment="1">
      <alignment horizontal="center" vertical="center" wrapText="1"/>
    </xf>
    <xf numFmtId="14" fontId="0" fillId="2" borderId="7" xfId="0" applyNumberFormat="1" applyFill="1" applyBorder="1" applyAlignment="1">
      <alignment horizontal="center" vertical="center" wrapText="1"/>
    </xf>
    <xf numFmtId="14" fontId="0" fillId="2" borderId="5" xfId="0" applyNumberFormat="1" applyFill="1" applyBorder="1" applyAlignment="1">
      <alignment horizontal="center" vertical="center" wrapText="1"/>
    </xf>
    <xf numFmtId="0" fontId="0" fillId="10" borderId="7" xfId="0" applyFill="1" applyBorder="1" applyAlignment="1">
      <alignment horizontal="center" vertical="center"/>
    </xf>
    <xf numFmtId="0" fontId="0" fillId="10" borderId="17" xfId="0" applyFill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0" fillId="9" borderId="7" xfId="0" applyFill="1" applyBorder="1" applyAlignment="1">
      <alignment horizontal="center" vertical="center"/>
    </xf>
    <xf numFmtId="0" fontId="0" fillId="9" borderId="5" xfId="0" applyFill="1" applyBorder="1" applyAlignment="1">
      <alignment horizontal="center" vertical="center"/>
    </xf>
    <xf numFmtId="0" fontId="11" fillId="2" borderId="22" xfId="0" applyFont="1" applyFill="1" applyBorder="1" applyAlignment="1">
      <alignment horizontal="center" vertical="center"/>
    </xf>
    <xf numFmtId="0" fontId="11" fillId="2" borderId="14" xfId="0" applyFont="1" applyFill="1" applyBorder="1" applyAlignment="1">
      <alignment horizontal="center" vertical="center"/>
    </xf>
    <xf numFmtId="0" fontId="0" fillId="10" borderId="5" xfId="0" applyFill="1" applyBorder="1" applyAlignment="1">
      <alignment horizontal="center" vertical="center"/>
    </xf>
    <xf numFmtId="0" fontId="0" fillId="9" borderId="17" xfId="0" applyFill="1" applyBorder="1" applyAlignment="1">
      <alignment horizontal="center" vertical="center"/>
    </xf>
    <xf numFmtId="0" fontId="0" fillId="11" borderId="7" xfId="0" applyFill="1" applyBorder="1" applyAlignment="1">
      <alignment horizontal="center" vertical="center"/>
    </xf>
    <xf numFmtId="0" fontId="0" fillId="11" borderId="17" xfId="0" applyFill="1" applyBorder="1" applyAlignment="1">
      <alignment horizontal="center" vertical="center"/>
    </xf>
    <xf numFmtId="0" fontId="0" fillId="11" borderId="5" xfId="0" applyFill="1" applyBorder="1" applyAlignment="1">
      <alignment horizontal="center" vertical="center"/>
    </xf>
  </cellXfs>
  <cellStyles count="2">
    <cellStyle name="Lien hypertexte" xfId="1" builtinId="8"/>
    <cellStyle name="Normal" xfId="0" builtinId="0"/>
  </cellStyles>
  <dxfs count="60">
    <dxf>
      <font>
        <color rgb="FF9C6500"/>
      </font>
      <fill>
        <patternFill>
          <fgColor indexed="64"/>
          <bgColor rgb="FFFFEB9C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006100"/>
      </font>
      <fill>
        <patternFill>
          <fgColor indexed="64"/>
          <bgColor rgb="FFC6EFCE"/>
        </patternFill>
      </fill>
    </dxf>
    <dxf>
      <font>
        <color rgb="FF9C6500"/>
      </font>
      <fill>
        <patternFill>
          <fgColor indexed="64"/>
          <bgColor rgb="FFFFEB9C"/>
        </patternFill>
      </fill>
    </dxf>
    <dxf>
      <font>
        <color rgb="FF006100"/>
      </font>
      <fill>
        <patternFill>
          <fgColor indexed="64"/>
          <bgColor rgb="FFC6EF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6500"/>
      </font>
      <fill>
        <patternFill>
          <fgColor indexed="64"/>
          <bgColor rgb="FFFFEB9C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006100"/>
      </font>
      <fill>
        <patternFill>
          <fgColor indexed="64"/>
          <bgColor rgb="FFC6EFCE"/>
        </patternFill>
      </fill>
    </dxf>
    <dxf>
      <font>
        <color rgb="FF9C6500"/>
      </font>
      <fill>
        <patternFill>
          <fgColor indexed="64"/>
          <bgColor rgb="FFFFEB9C"/>
        </patternFill>
      </fill>
    </dxf>
    <dxf>
      <font>
        <color rgb="FF006100"/>
      </font>
      <fill>
        <patternFill>
          <fgColor indexed="64"/>
          <bgColor rgb="FFC6EF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6500"/>
      </font>
      <fill>
        <patternFill>
          <fgColor indexed="64"/>
          <bgColor rgb="FFFFEB9C"/>
        </patternFill>
      </fill>
    </dxf>
    <dxf>
      <font>
        <color rgb="FF006100"/>
      </font>
      <fill>
        <patternFill>
          <fgColor indexed="64"/>
          <bgColor rgb="FFC6EF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6500"/>
      </font>
      <fill>
        <patternFill>
          <fgColor indexed="64"/>
          <bgColor rgb="FFFFEB9C"/>
        </patternFill>
      </fill>
    </dxf>
    <dxf>
      <font>
        <color rgb="FF006100"/>
      </font>
      <fill>
        <patternFill>
          <fgColor indexed="64"/>
          <bgColor rgb="FFC6EF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6500"/>
      </font>
      <fill>
        <patternFill>
          <fgColor indexed="64"/>
          <bgColor rgb="FFFFEB9C"/>
        </patternFill>
      </fill>
    </dxf>
    <dxf>
      <font>
        <color rgb="FF006100"/>
      </font>
      <fill>
        <patternFill>
          <fgColor indexed="64"/>
          <bgColor rgb="FFC6EF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6500"/>
      </font>
      <fill>
        <patternFill>
          <fgColor indexed="64"/>
          <bgColor rgb="FFFFEB9C"/>
        </patternFill>
      </fill>
    </dxf>
    <dxf>
      <font>
        <color rgb="FF006100"/>
      </font>
      <fill>
        <patternFill>
          <fgColor indexed="64"/>
          <bgColor rgb="FFC6EF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6500"/>
      </font>
      <fill>
        <patternFill>
          <fgColor indexed="64"/>
          <bgColor rgb="FFFFEB9C"/>
        </patternFill>
      </fill>
    </dxf>
    <dxf>
      <font>
        <color rgb="FF006100"/>
      </font>
      <fill>
        <patternFill>
          <fgColor indexed="64"/>
          <bgColor rgb="FFC6EF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6500"/>
      </font>
      <fill>
        <patternFill>
          <fgColor indexed="64"/>
          <bgColor rgb="FFFFEB9C"/>
        </patternFill>
      </fill>
    </dxf>
    <dxf>
      <font>
        <color rgb="FF006100"/>
      </font>
      <fill>
        <patternFill>
          <fgColor indexed="64"/>
          <bgColor rgb="FFC6EF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006100"/>
      </font>
      <fill>
        <patternFill>
          <fgColor indexed="64"/>
          <bgColor rgb="FFC6EFCE"/>
        </patternFill>
      </fill>
    </dxf>
    <dxf>
      <font>
        <color rgb="FF9C6500"/>
      </font>
      <fill>
        <patternFill>
          <fgColor indexed="64"/>
          <bgColor rgb="FFFFEB9C"/>
        </patternFill>
      </fill>
    </dxf>
    <dxf>
      <font>
        <color rgb="FF9C6500"/>
      </font>
      <fill>
        <patternFill>
          <fgColor indexed="64"/>
          <bgColor rgb="FFFFEB9C"/>
        </patternFill>
      </fill>
    </dxf>
    <dxf>
      <font>
        <color rgb="FF006100"/>
      </font>
      <fill>
        <patternFill>
          <fgColor indexed="64"/>
          <bgColor rgb="FFC6EF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6500"/>
      </font>
      <fill>
        <patternFill>
          <fgColor indexed="64"/>
          <bgColor rgb="FFFFEB9C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006100"/>
      </font>
      <fill>
        <patternFill>
          <fgColor indexed="64"/>
          <bgColor rgb="FFC6EFCE"/>
        </patternFill>
      </fill>
    </dxf>
    <dxf>
      <font>
        <color rgb="FF9C6500"/>
      </font>
      <fill>
        <patternFill>
          <fgColor indexed="64"/>
          <bgColor rgb="FFFFEB9C"/>
        </patternFill>
      </fill>
    </dxf>
    <dxf>
      <font>
        <color rgb="FF006100"/>
      </font>
      <fill>
        <patternFill>
          <fgColor indexed="64"/>
          <bgColor rgb="FFC6EF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6500"/>
      </font>
      <fill>
        <patternFill>
          <fgColor indexed="64"/>
          <bgColor rgb="FFFFEB9C"/>
        </patternFill>
      </fill>
    </dxf>
    <dxf>
      <font>
        <color rgb="FF006100"/>
      </font>
      <fill>
        <patternFill>
          <fgColor indexed="64"/>
          <bgColor rgb="FFC6EF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006100"/>
      </font>
      <fill>
        <patternFill>
          <fgColor indexed="64"/>
          <bgColor rgb="FFC6EF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6500"/>
      </font>
      <fill>
        <patternFill>
          <fgColor indexed="64"/>
          <bgColor rgb="FFFFEB9C"/>
        </patternFill>
      </fill>
    </dxf>
    <dxf>
      <font>
        <color rgb="FF9C6500"/>
      </font>
      <fill>
        <patternFill>
          <fgColor indexed="64"/>
          <bgColor rgb="FFFFEB9C"/>
        </patternFill>
      </fill>
    </dxf>
    <dxf>
      <font>
        <color rgb="FF006100"/>
      </font>
      <fill>
        <patternFill>
          <fgColor indexed="64"/>
          <bgColor rgb="FFC6EF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6500"/>
      </font>
      <fill>
        <patternFill>
          <fgColor indexed="64"/>
          <bgColor rgb="FFFFEB9C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006100"/>
      </font>
      <fill>
        <patternFill>
          <fgColor indexed="64"/>
          <bgColor rgb="FFC6EFCE"/>
        </patternFill>
      </fill>
    </dxf>
    <dxf>
      <font>
        <color rgb="FF9C6500"/>
      </font>
      <fill>
        <patternFill>
          <fgColor indexed="64"/>
          <bgColor rgb="FFFFEB9C"/>
        </patternFill>
      </fill>
    </dxf>
    <dxf>
      <font>
        <color rgb="FF006100"/>
      </font>
      <fill>
        <patternFill>
          <fgColor indexed="64"/>
          <bgColor rgb="FFC6EF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6500"/>
      </font>
      <fill>
        <patternFill>
          <fgColor indexed="64"/>
          <bgColor rgb="FFFFEB9C"/>
        </patternFill>
      </fill>
    </dxf>
    <dxf>
      <font>
        <color rgb="FF006100"/>
      </font>
      <fill>
        <patternFill>
          <fgColor indexed="64"/>
          <bgColor rgb="FFC6EFCE"/>
        </patternFill>
      </fill>
    </dxf>
  </dxfs>
  <tableStyles count="0" defaultTableStyle="TableStyleMedium2" defaultPivotStyle="PivotStyleLight16"/>
  <colors>
    <mruColors>
      <color rgb="FFFF6600"/>
      <color rgb="FF0033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file:///\\POLY-AD\Partages\Polynov\Administratif%20BE\Feuille%20d'heures\heures%20FERNANDES%20Daniel\heures%20DFE%202026\feuille%20heures%20DFE%20S39%20-%202026.xlsx" TargetMode="External"/><Relationship Id="rId13" Type="http://schemas.openxmlformats.org/officeDocument/2006/relationships/hyperlink" Target="file:///\\POLY-AD\Partages\Polynov\Administratif%20BE\Feuille%20d'heures\heures%20LECLERCQ%20Dimitri\heures%20DLE%202026\feuille%20heures%20DLE%20S39%20-%202026.xlsx" TargetMode="External"/><Relationship Id="rId18" Type="http://schemas.openxmlformats.org/officeDocument/2006/relationships/hyperlink" Target="file:///\\POLY-AD\Partages\Polynov\Administratif%20BE\Feuille%20d'heures\heures%20RAYMOND%20Nicolas\heures%20NRA%202026\feuille%20heures%20NRA%20S39%20-%202026.xlsx" TargetMode="External"/><Relationship Id="rId3" Type="http://schemas.openxmlformats.org/officeDocument/2006/relationships/hyperlink" Target="file:///\\POLY-AD\Partages\Polynov\Administratif%20BE\Feuille%20d'heures\heures%20CADELL%20Eddie\heures%20ECA%202026\feuille%20heures%20ECA%20S39%20-%202026.xlsx" TargetMode="External"/><Relationship Id="rId21" Type="http://schemas.openxmlformats.org/officeDocument/2006/relationships/printerSettings" Target="../printerSettings/printerSettings2.bin"/><Relationship Id="rId7" Type="http://schemas.openxmlformats.org/officeDocument/2006/relationships/hyperlink" Target="file:///\\POLY-AD\Partages\Polynov\Administratif%20BE\Feuille%20d'heures\heures%20DELCROS%20Fr&#233;d&#233;ric\heures%20FDE%202026\feuille%20heures%20FDE%20S39%20-%202026.xlsx" TargetMode="External"/><Relationship Id="rId12" Type="http://schemas.openxmlformats.org/officeDocument/2006/relationships/hyperlink" Target="file:///\\POLY-AD\Partages\Polynov\Administratif%20BE\Feuille%20d'heures\heures%20LAJUS%20Anthony\heures%20ALA%202026\feuille%20heures%20ALA%20S39%20-%202026.xlsx" TargetMode="External"/><Relationship Id="rId17" Type="http://schemas.openxmlformats.org/officeDocument/2006/relationships/hyperlink" Target="file:///\\POLY-AD\Partages\Polynov\Administratif%20BE\Feuille%20d'heures\heures%20PISSAVIN%20K&#233;vin\heures%20KPI%202026\feuille%20heures%20KPI%20S39%20-%202026.xlsx" TargetMode="External"/><Relationship Id="rId2" Type="http://schemas.openxmlformats.org/officeDocument/2006/relationships/hyperlink" Target="file:///\\POLY-AD\Partages\Polynov\Administratif%20BE\Feuille%20d'heures\heures%20BLINEAU%20Cl&#233;ment\heures%20CBL%202026\feuille%20heures%20CBL%20S39%20-%202026.xlsx" TargetMode="External"/><Relationship Id="rId16" Type="http://schemas.openxmlformats.org/officeDocument/2006/relationships/hyperlink" Target="file:///\\POLY-AD\Partages\Polynov\Administratif%20BE\Feuille%20d'heures\heures%20MONTBRIZON%20Mathieu\heures%20MMO%202026\feuille%20heures%20MMO%20S39%20-%202026.xlsx" TargetMode="External"/><Relationship Id="rId20" Type="http://schemas.openxmlformats.org/officeDocument/2006/relationships/hyperlink" Target="file:///\\POLY-AD\Partages\Polynov\Administratif%20BE\Feuille%20d'heures\heures%20VILLENEUVE%20Fabien\heures%20FVI%202026\feuille%20heures%20FVI%20S39%20-%202026.xlsx" TargetMode="External"/><Relationship Id="rId1" Type="http://schemas.openxmlformats.org/officeDocument/2006/relationships/hyperlink" Target="file:///\\POLY-AD\Partages\Polynov\Administratif%20BE\Feuille%20d'heures\heures%20BERNARD%20Bastien\heures%20BBE%202026\feuille%20heures%20BBE%20S39%20-%202026.xlsx" TargetMode="External"/><Relationship Id="rId6" Type="http://schemas.openxmlformats.org/officeDocument/2006/relationships/hyperlink" Target="file:///\\POLY-AD\Partages\Polynov\Administratif%20BE\Feuille%20d'heures\heures%20DE%20FREITAS%20Thomas\heures%20TDF%202026\feuille%20heures%20TDF%20S39%20-%202026.xlsx" TargetMode="External"/><Relationship Id="rId11" Type="http://schemas.openxmlformats.org/officeDocument/2006/relationships/hyperlink" Target="file:///\\POLY-AD\Partages\Polynov\Administratif%20BE\Feuille%20d'heures\heures%20IDELON%20K&#233;vin\heures%20KID%202026\feuille%20heures%20KID%20S39%20-%202026.xlsx" TargetMode="External"/><Relationship Id="rId5" Type="http://schemas.openxmlformats.org/officeDocument/2006/relationships/hyperlink" Target="file:///\\POLY-AD\Partages\Polynov\Administratif%20BE\Feuille%20d'heures\heures%20COMBE%20Eric\heures%20ECO%202026\feuille%20heures%20ECO%20S39%20-%202026.xlsx" TargetMode="External"/><Relationship Id="rId15" Type="http://schemas.openxmlformats.org/officeDocument/2006/relationships/hyperlink" Target="file:///\\POLY-AD\Partages\Polynov\Administratif%20BE\Feuille%20d'heures\heures%20MAZIER%20Antoine\heures%20AMZ%202026\feuille%20heures%20AMZ%20S39%20-%202026.xlsx" TargetMode="External"/><Relationship Id="rId23" Type="http://schemas.openxmlformats.org/officeDocument/2006/relationships/comments" Target="../comments1.xml"/><Relationship Id="rId10" Type="http://schemas.openxmlformats.org/officeDocument/2006/relationships/hyperlink" Target="file:///\\POLY-AD\Partages\Polynov\Administratif%20BE\Feuille%20d'heures\heures%20HERDT%20Pascal\heures%20PHE%202026\feuille%20heures%20PHE%20S39%20-%202026.xlsx" TargetMode="External"/><Relationship Id="rId19" Type="http://schemas.openxmlformats.org/officeDocument/2006/relationships/hyperlink" Target="file:///\\POLY-AD\Partages\Polynov\Administratif%20BE\Feuille%20d'heures\heures%20VALENTIN%20Thierry\heures%20TVA%202026\feuille%20heures%20TVA%20S39%20-%202026.xlsx" TargetMode="External"/><Relationship Id="rId4" Type="http://schemas.openxmlformats.org/officeDocument/2006/relationships/hyperlink" Target="file:///\\POLY-AD\Partages\Polynov\Administratif%20BE\Feuille%20d'heures\heures%20COLLOT%20Maxence\heures%20MCO%202026\feuille%20heures%20MCO%20S39%20-%202026.xlsx" TargetMode="External"/><Relationship Id="rId9" Type="http://schemas.openxmlformats.org/officeDocument/2006/relationships/hyperlink" Target="file:///\\POLY-AD\Partages\Polynov\Administratif%20BE\Feuille%20d'heures\heures%20GAUFIER%20Pierre-Laurent\heures%20PLG%202026\feuille%20heures%20PLG%20S39%20-%202026.xlsx" TargetMode="External"/><Relationship Id="rId14" Type="http://schemas.openxmlformats.org/officeDocument/2006/relationships/hyperlink" Target="file:///\\POLY-AD\Partages\Polynov\Administratif%20BE\Feuille%20d'heures\heures%20MAUBERT%20Am&#233;lie\heures%20AMA%202026\feuille%20heures%20AMA%20S39%20-%202026.xlsx" TargetMode="External"/><Relationship Id="rId2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2"/>
  <dimension ref="A1:BC2"/>
  <sheetViews>
    <sheetView showGridLines="0" tabSelected="1" zoomScale="70" zoomScaleNormal="70" workbookViewId="0">
      <pane ySplit="2" topLeftCell="A3" activePane="bottomLeft" state="frozen"/>
      <selection activeCell="H43" sqref="H43"/>
      <selection pane="bottomLeft" activeCell="H16" sqref="H16"/>
    </sheetView>
  </sheetViews>
  <sheetFormatPr baseColWidth="10" defaultRowHeight="14.4" x14ac:dyDescent="0.3"/>
  <cols>
    <col min="1" max="1" width="20.77734375" style="9" customWidth="1"/>
    <col min="2" max="2" width="6" style="5" customWidth="1"/>
    <col min="3" max="3" width="11.88671875" style="6" bestFit="1" customWidth="1"/>
    <col min="4" max="4" width="10.44140625" style="8" bestFit="1" customWidth="1"/>
    <col min="5" max="41" width="6.33203125" style="7" customWidth="1"/>
    <col min="42" max="43" width="6.88671875" style="15" customWidth="1"/>
    <col min="44" max="45" width="6.88671875" style="7" customWidth="1"/>
    <col min="46" max="47" width="6.88671875" style="12" customWidth="1"/>
    <col min="48" max="49" width="6.88671875" style="7" customWidth="1"/>
    <col min="50" max="51" width="6.88671875" style="12" customWidth="1"/>
    <col min="52" max="55" width="6.88671875" style="14" customWidth="1"/>
  </cols>
  <sheetData>
    <row r="1" spans="1:55" ht="49.5" customHeight="1" x14ac:dyDescent="0.3">
      <c r="A1" s="42" t="s">
        <v>27</v>
      </c>
      <c r="B1" s="17"/>
      <c r="C1" s="44" t="s">
        <v>28</v>
      </c>
      <c r="D1" s="46" t="s">
        <v>29</v>
      </c>
      <c r="E1" s="48" t="s">
        <v>14</v>
      </c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9" t="s">
        <v>24</v>
      </c>
      <c r="AA1" s="50"/>
      <c r="AB1" s="50"/>
      <c r="AC1" s="50"/>
      <c r="AD1" s="50"/>
      <c r="AE1" s="50"/>
      <c r="AF1" s="50"/>
      <c r="AG1" s="50"/>
      <c r="AH1" s="50"/>
      <c r="AI1" s="50"/>
      <c r="AJ1" s="50"/>
      <c r="AK1" s="50"/>
      <c r="AL1" s="50"/>
      <c r="AM1" s="50"/>
      <c r="AN1" s="50"/>
      <c r="AO1" s="51"/>
      <c r="AP1" s="54" t="e">
        <f>"LUNDI" &amp; CHAR(10) &amp; TEXT(7*B2+DATE(B1,1,3)-WEEKDAY(DATE(B1,1,3))-5,"JJ/MM/AA")</f>
        <v>#VALUE!</v>
      </c>
      <c r="AQ1" s="55"/>
      <c r="AR1" s="56" t="e">
        <f>"MARDI" &amp; CHAR(10) &amp; TEXT(7*B2+DATE(B1,1,3)-WEEKDAY(DATE(B1,1,3))-4,"JJ/MM/AA")</f>
        <v>#VALUE!</v>
      </c>
      <c r="AS1" s="57"/>
      <c r="AT1" s="58" t="e">
        <f>"MERCREDI" &amp; CHAR(10) &amp; TEXT(7*B2+DATE(B1,1,3)-WEEKDAY(DATE(B1,1,3))-3,"JJ/MM/AA")</f>
        <v>#VALUE!</v>
      </c>
      <c r="AU1" s="59"/>
      <c r="AV1" s="56" t="e">
        <f>"JEUDI" &amp; CHAR(10) &amp; TEXT(7*B2+DATE(B1,1,3)-WEEKDAY(DATE(B1,1,3))-2,"JJ/MM/AA")</f>
        <v>#VALUE!</v>
      </c>
      <c r="AW1" s="57"/>
      <c r="AX1" s="58" t="e">
        <f>"VENDREDI" &amp; CHAR(10) &amp; TEXT(7*B2+DATE(B1,1,3)-WEEKDAY(DATE(B1,1,3))-1,"JJ/MM/AA")</f>
        <v>#VALUE!</v>
      </c>
      <c r="AY1" s="59"/>
      <c r="AZ1" s="52" t="str">
        <f>"SAMEDI" &amp; CHAR(10) &amp; TEXT(7*B2+DATE(B1,1,3)-WEEKDAY(DATE(B1,1,3)),"JJ/MM/AA")</f>
        <v>SAMEDI
00/01/00</v>
      </c>
      <c r="BA1" s="53"/>
      <c r="BB1" s="52" t="str">
        <f>"DIMANCHE" &amp; CHAR(10) &amp; TEXT(7*B2+DATE(B1,1,3)-WEEKDAY(DATE(B1,1,3))+1,"JJ/MM/AA")</f>
        <v>DIMANCHE
01/01/00</v>
      </c>
      <c r="BC1" s="53"/>
    </row>
    <row r="2" spans="1:55" s="1" customFormat="1" ht="18" x14ac:dyDescent="0.3">
      <c r="A2" s="43"/>
      <c r="B2" s="16"/>
      <c r="C2" s="45"/>
      <c r="D2" s="47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3"/>
      <c r="AB2" s="3"/>
      <c r="AC2" s="3"/>
      <c r="AD2" s="3"/>
      <c r="AE2" s="3"/>
      <c r="AF2" s="3"/>
      <c r="AG2" s="3"/>
      <c r="AH2" s="3"/>
      <c r="AI2" s="3"/>
      <c r="AJ2" s="4"/>
      <c r="AK2" s="4"/>
      <c r="AL2" s="3"/>
      <c r="AM2" s="3"/>
      <c r="AN2" s="31"/>
      <c r="AO2" s="31"/>
      <c r="AP2" s="30" t="s">
        <v>30</v>
      </c>
      <c r="AQ2" s="11" t="s">
        <v>31</v>
      </c>
      <c r="AR2" s="10" t="s">
        <v>30</v>
      </c>
      <c r="AS2" s="10" t="s">
        <v>31</v>
      </c>
      <c r="AT2" s="11" t="s">
        <v>30</v>
      </c>
      <c r="AU2" s="11" t="s">
        <v>31</v>
      </c>
      <c r="AV2" s="10" t="s">
        <v>30</v>
      </c>
      <c r="AW2" s="10" t="s">
        <v>31</v>
      </c>
      <c r="AX2" s="11" t="s">
        <v>30</v>
      </c>
      <c r="AY2" s="11" t="s">
        <v>31</v>
      </c>
      <c r="AZ2" s="13" t="s">
        <v>30</v>
      </c>
      <c r="BA2" s="13" t="s">
        <v>31</v>
      </c>
      <c r="BB2" s="13" t="s">
        <v>30</v>
      </c>
      <c r="BC2" s="13" t="s">
        <v>31</v>
      </c>
    </row>
  </sheetData>
  <dataConsolidate/>
  <mergeCells count="12">
    <mergeCell ref="BB1:BC1"/>
    <mergeCell ref="AP1:AQ1"/>
    <mergeCell ref="AR1:AS1"/>
    <mergeCell ref="AT1:AU1"/>
    <mergeCell ref="AV1:AW1"/>
    <mergeCell ref="AX1:AY1"/>
    <mergeCell ref="AZ1:BA1"/>
    <mergeCell ref="A1:A2"/>
    <mergeCell ref="C1:C2"/>
    <mergeCell ref="D1:D2"/>
    <mergeCell ref="E1:Y1"/>
    <mergeCell ref="Z1:AO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D2455-D453-4318-82B3-E3338D59E59A}">
  <sheetPr codeName="Feuil400"/>
  <dimension ref="A1:BC152"/>
  <sheetViews>
    <sheetView showGridLines="0" zoomScale="70" zoomScaleNormal="70" workbookViewId="0">
      <pane ySplit="2" topLeftCell="A90" activePane="bottomLeft" state="frozen"/>
      <selection activeCell="H43" sqref="H43"/>
      <selection pane="bottomLeft" activeCell="S108" sqref="S108"/>
    </sheetView>
  </sheetViews>
  <sheetFormatPr baseColWidth="10" defaultRowHeight="14.4" x14ac:dyDescent="0.3"/>
  <cols>
    <col min="1" max="1" width="24.5546875" style="9" bestFit="1" customWidth="1"/>
    <col min="2" max="2" width="6" style="5" customWidth="1"/>
    <col min="3" max="3" width="16.6640625" style="6" bestFit="1" customWidth="1"/>
    <col min="4" max="4" width="10.44140625" style="8" bestFit="1" customWidth="1"/>
    <col min="5" max="41" width="6.33203125" style="7" customWidth="1"/>
    <col min="42" max="43" width="6.88671875" style="15" customWidth="1"/>
    <col min="44" max="45" width="6.88671875" style="7" customWidth="1"/>
    <col min="46" max="47" width="6.88671875" style="12" customWidth="1"/>
    <col min="48" max="49" width="6.88671875" style="7" customWidth="1"/>
    <col min="50" max="51" width="6.88671875" style="12" customWidth="1"/>
    <col min="52" max="55" width="6.88671875" style="14" customWidth="1"/>
  </cols>
  <sheetData>
    <row r="1" spans="1:55" ht="49.5" customHeight="1" x14ac:dyDescent="0.3">
      <c r="A1" s="42" t="s">
        <v>27</v>
      </c>
      <c r="B1" s="17" t="s">
        <v>83</v>
      </c>
      <c r="C1" s="44" t="s">
        <v>28</v>
      </c>
      <c r="D1" s="46" t="s">
        <v>29</v>
      </c>
      <c r="E1" s="48" t="s">
        <v>14</v>
      </c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9" t="s">
        <v>24</v>
      </c>
      <c r="AA1" s="50"/>
      <c r="AB1" s="50"/>
      <c r="AC1" s="50"/>
      <c r="AD1" s="50"/>
      <c r="AE1" s="50"/>
      <c r="AF1" s="50"/>
      <c r="AG1" s="50"/>
      <c r="AH1" s="50"/>
      <c r="AI1" s="50"/>
      <c r="AJ1" s="50"/>
      <c r="AK1" s="50"/>
      <c r="AL1" s="50"/>
      <c r="AM1" s="50"/>
      <c r="AN1" s="50"/>
      <c r="AO1" s="51"/>
      <c r="AP1" s="54" t="str">
        <f>"LUNDI" &amp; CHAR(10) &amp; TEXT(7*B2+DATE(B1,1,3)-WEEKDAY(DATE(B1,1,3))-5,"JJ/MM/AA")</f>
        <v>LUNDI
21/09/26</v>
      </c>
      <c r="AQ1" s="55"/>
      <c r="AR1" s="56" t="str">
        <f>"MARDI" &amp; CHAR(10) &amp; TEXT(7*B2+DATE(B1,1,3)-WEEKDAY(DATE(B1,1,3))-4,"JJ/MM/AA")</f>
        <v>MARDI
22/09/26</v>
      </c>
      <c r="AS1" s="57"/>
      <c r="AT1" s="58" t="str">
        <f>"MERCREDI" &amp; CHAR(10) &amp; TEXT(7*B2+DATE(B1,1,3)-WEEKDAY(DATE(B1,1,3))-3,"JJ/MM/AA")</f>
        <v>MERCREDI
23/09/26</v>
      </c>
      <c r="AU1" s="59"/>
      <c r="AV1" s="56" t="str">
        <f>"JEUDI" &amp; CHAR(10) &amp; TEXT(7*B2+DATE(B1,1,3)-WEEKDAY(DATE(B1,1,3))-2,"JJ/MM/AA")</f>
        <v>JEUDI
24/09/26</v>
      </c>
      <c r="AW1" s="57"/>
      <c r="AX1" s="58" t="str">
        <f>"VENDREDI" &amp; CHAR(10) &amp; TEXT(7*B2+DATE(B1,1,3)-WEEKDAY(DATE(B1,1,3))-1,"JJ/MM/AA")</f>
        <v>VENDREDI
25/09/26</v>
      </c>
      <c r="AY1" s="59"/>
      <c r="AZ1" s="52" t="str">
        <f>"SAMEDI" &amp; CHAR(10) &amp; TEXT(7*B2+DATE(B1,1,3)-WEEKDAY(DATE(B1,1,3)),"JJ/MM/AA")</f>
        <v>SAMEDI
26/09/26</v>
      </c>
      <c r="BA1" s="53"/>
      <c r="BB1" s="52" t="str">
        <f>"DIMANCHE" &amp; CHAR(10) &amp; TEXT(7*B2+DATE(B1,1,3)-WEEKDAY(DATE(B1,1,3))+1,"JJ/MM/AA")</f>
        <v>DIMANCHE
27/09/26</v>
      </c>
      <c r="BC1" s="53"/>
    </row>
    <row r="2" spans="1:55" s="1" customFormat="1" ht="18" x14ac:dyDescent="0.3">
      <c r="A2" s="43"/>
      <c r="B2" s="16" t="s">
        <v>42</v>
      </c>
      <c r="C2" s="45"/>
      <c r="D2" s="47"/>
      <c r="E2" s="2" t="s">
        <v>0</v>
      </c>
      <c r="F2" s="2" t="s">
        <v>99</v>
      </c>
      <c r="G2" s="2" t="s">
        <v>2</v>
      </c>
      <c r="H2" s="2" t="s">
        <v>3</v>
      </c>
      <c r="I2" s="2" t="s">
        <v>1</v>
      </c>
      <c r="J2" s="2" t="s">
        <v>4</v>
      </c>
      <c r="K2" s="2" t="s">
        <v>5</v>
      </c>
      <c r="L2" s="2" t="s">
        <v>79</v>
      </c>
      <c r="M2" s="2" t="s">
        <v>6</v>
      </c>
      <c r="N2" s="2" t="s">
        <v>7</v>
      </c>
      <c r="O2" s="2" t="s">
        <v>8</v>
      </c>
      <c r="P2" s="2" t="s">
        <v>9</v>
      </c>
      <c r="Q2" s="2" t="s">
        <v>10</v>
      </c>
      <c r="R2" s="2" t="s">
        <v>11</v>
      </c>
      <c r="S2" s="2" t="s">
        <v>12</v>
      </c>
      <c r="T2" s="2" t="s">
        <v>13</v>
      </c>
      <c r="U2" s="2" t="s">
        <v>20</v>
      </c>
      <c r="V2" s="2" t="s">
        <v>32</v>
      </c>
      <c r="W2" s="2" t="s">
        <v>40</v>
      </c>
      <c r="X2" s="2" t="s">
        <v>48</v>
      </c>
      <c r="Y2" s="2" t="s">
        <v>41</v>
      </c>
      <c r="Z2" s="3" t="s">
        <v>38</v>
      </c>
      <c r="AA2" s="3" t="s">
        <v>15</v>
      </c>
      <c r="AB2" s="3" t="s">
        <v>16</v>
      </c>
      <c r="AC2" s="3" t="s">
        <v>17</v>
      </c>
      <c r="AD2" s="3" t="s">
        <v>18</v>
      </c>
      <c r="AE2" s="3" t="s">
        <v>19</v>
      </c>
      <c r="AF2" s="3" t="s">
        <v>21</v>
      </c>
      <c r="AG2" s="3" t="s">
        <v>22</v>
      </c>
      <c r="AH2" s="3" t="s">
        <v>23</v>
      </c>
      <c r="AI2" s="3" t="s">
        <v>25</v>
      </c>
      <c r="AJ2" s="4" t="s">
        <v>39</v>
      </c>
      <c r="AK2" s="4" t="s">
        <v>26</v>
      </c>
      <c r="AL2" s="3" t="s">
        <v>33</v>
      </c>
      <c r="AM2" s="3" t="s">
        <v>34</v>
      </c>
      <c r="AN2" s="31" t="s">
        <v>76</v>
      </c>
      <c r="AO2" s="31" t="s">
        <v>43</v>
      </c>
      <c r="AP2" s="30" t="s">
        <v>30</v>
      </c>
      <c r="AQ2" s="11" t="s">
        <v>31</v>
      </c>
      <c r="AR2" s="10" t="s">
        <v>30</v>
      </c>
      <c r="AS2" s="10" t="s">
        <v>31</v>
      </c>
      <c r="AT2" s="11" t="s">
        <v>30</v>
      </c>
      <c r="AU2" s="11" t="s">
        <v>31</v>
      </c>
      <c r="AV2" s="10" t="s">
        <v>30</v>
      </c>
      <c r="AW2" s="10" t="s">
        <v>31</v>
      </c>
      <c r="AX2" s="11" t="s">
        <v>30</v>
      </c>
      <c r="AY2" s="11" t="s">
        <v>31</v>
      </c>
      <c r="AZ2" s="13" t="s">
        <v>30</v>
      </c>
      <c r="BA2" s="13" t="s">
        <v>31</v>
      </c>
      <c r="BB2" s="13" t="s">
        <v>30</v>
      </c>
      <c r="BC2" s="13" t="s">
        <v>31</v>
      </c>
    </row>
    <row r="3" spans="1:55" x14ac:dyDescent="0.3">
      <c r="A3" s="18" t="s">
        <v>60</v>
      </c>
    </row>
    <row r="4" spans="1:55" x14ac:dyDescent="0.3">
      <c r="A4" s="9" t="s">
        <v>51</v>
      </c>
      <c r="C4" s="6" t="s">
        <v>89</v>
      </c>
      <c r="D4" s="8">
        <f>SUM(E4:AO4)</f>
        <v>2</v>
      </c>
      <c r="J4" s="7">
        <v>2</v>
      </c>
    </row>
    <row r="5" spans="1:55" x14ac:dyDescent="0.3">
      <c r="A5" s="9" t="s">
        <v>55</v>
      </c>
      <c r="C5" s="6" t="s">
        <v>104</v>
      </c>
      <c r="D5" s="8">
        <f>SUM(E5:AO5)</f>
        <v>0.5</v>
      </c>
      <c r="J5" s="7">
        <v>0.5</v>
      </c>
    </row>
    <row r="6" spans="1:55" x14ac:dyDescent="0.3">
      <c r="C6" s="6" t="s">
        <v>94</v>
      </c>
    </row>
    <row r="7" spans="1:55" x14ac:dyDescent="0.3">
      <c r="C7" s="6" t="s">
        <v>35</v>
      </c>
      <c r="D7" s="8">
        <f>SUM(E7:AO7)</f>
        <v>32.5</v>
      </c>
      <c r="J7" s="7">
        <v>1</v>
      </c>
      <c r="K7" s="7">
        <v>24</v>
      </c>
      <c r="U7" s="7">
        <v>2.5</v>
      </c>
      <c r="Z7" s="7">
        <v>5</v>
      </c>
    </row>
    <row r="8" spans="1:55" x14ac:dyDescent="0.3">
      <c r="B8" s="25"/>
      <c r="C8" s="26" t="s">
        <v>47</v>
      </c>
      <c r="D8" s="27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66">
        <v>7.5</v>
      </c>
      <c r="AQ8" s="67"/>
      <c r="AR8" s="62">
        <v>7.5</v>
      </c>
      <c r="AS8" s="63"/>
      <c r="AT8" s="66">
        <v>7.5</v>
      </c>
      <c r="AU8" s="67"/>
      <c r="AV8" s="62">
        <v>7.5</v>
      </c>
      <c r="AW8" s="63"/>
      <c r="AX8" s="66">
        <v>5</v>
      </c>
      <c r="AY8" s="67"/>
      <c r="AZ8" s="29">
        <v>0</v>
      </c>
      <c r="BA8" s="29"/>
      <c r="BB8" s="29">
        <v>0</v>
      </c>
      <c r="BC8" s="34"/>
    </row>
    <row r="9" spans="1:55" x14ac:dyDescent="0.3">
      <c r="B9" s="25"/>
      <c r="C9" s="35" t="s">
        <v>37</v>
      </c>
      <c r="D9" s="36">
        <f>SUM(AP9:BC9)</f>
        <v>0</v>
      </c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8">
        <v>0</v>
      </c>
      <c r="AQ9" s="38"/>
      <c r="AR9" s="37">
        <v>0</v>
      </c>
      <c r="AS9" s="37"/>
      <c r="AT9" s="41">
        <v>0</v>
      </c>
      <c r="AU9" s="41"/>
      <c r="AV9" s="37">
        <v>0</v>
      </c>
      <c r="AW9" s="37"/>
      <c r="AX9" s="41">
        <v>0</v>
      </c>
      <c r="AY9" s="41"/>
      <c r="AZ9" s="39">
        <v>0</v>
      </c>
      <c r="BA9" s="39"/>
      <c r="BB9" s="39">
        <v>0</v>
      </c>
      <c r="BC9" s="40"/>
    </row>
    <row r="10" spans="1:55" x14ac:dyDescent="0.3">
      <c r="A10" s="19"/>
      <c r="B10" s="20"/>
      <c r="C10" s="21" t="s">
        <v>36</v>
      </c>
      <c r="D10" s="22">
        <f>SUM(D3:D7)</f>
        <v>35</v>
      </c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32"/>
      <c r="AP10" s="60" t="s">
        <v>46</v>
      </c>
      <c r="AQ10" s="61"/>
      <c r="AR10" s="60" t="s">
        <v>46</v>
      </c>
      <c r="AS10" s="61"/>
      <c r="AT10" s="60" t="s">
        <v>46</v>
      </c>
      <c r="AU10" s="61"/>
      <c r="AV10" s="60" t="s">
        <v>46</v>
      </c>
      <c r="AW10" s="61"/>
      <c r="AX10" s="64" t="s">
        <v>45</v>
      </c>
      <c r="AY10" s="65"/>
      <c r="AZ10" s="33"/>
      <c r="BA10" s="24"/>
      <c r="BB10" s="24"/>
      <c r="BC10" s="24"/>
    </row>
    <row r="11" spans="1:55" x14ac:dyDescent="0.3">
      <c r="A11" s="18" t="s">
        <v>80</v>
      </c>
    </row>
    <row r="12" spans="1:55" x14ac:dyDescent="0.3">
      <c r="A12" s="9" t="s">
        <v>52</v>
      </c>
      <c r="C12" s="6" t="s">
        <v>93</v>
      </c>
      <c r="D12" s="8">
        <f>SUM(E12:AO12)</f>
        <v>2</v>
      </c>
      <c r="J12" s="7">
        <v>2</v>
      </c>
    </row>
    <row r="13" spans="1:55" x14ac:dyDescent="0.3">
      <c r="A13" s="9" t="s">
        <v>54</v>
      </c>
      <c r="C13" s="6" t="s">
        <v>109</v>
      </c>
      <c r="D13" s="8">
        <f>SUM(E13:AO13)</f>
        <v>3</v>
      </c>
      <c r="E13" s="7">
        <v>3</v>
      </c>
    </row>
    <row r="14" spans="1:55" x14ac:dyDescent="0.3">
      <c r="C14" s="6" t="s">
        <v>112</v>
      </c>
      <c r="D14" s="8">
        <f>SUM(E14:AO14)</f>
        <v>4</v>
      </c>
      <c r="K14" s="7">
        <v>4</v>
      </c>
    </row>
    <row r="15" spans="1:55" x14ac:dyDescent="0.3">
      <c r="C15" s="6" t="s">
        <v>113</v>
      </c>
      <c r="D15" s="8">
        <f>SUM(E15:AO15)</f>
        <v>11.5</v>
      </c>
      <c r="E15" s="7">
        <v>11.5</v>
      </c>
    </row>
    <row r="16" spans="1:55" x14ac:dyDescent="0.3">
      <c r="C16" s="6" t="s">
        <v>35</v>
      </c>
      <c r="D16" s="8">
        <f>SUM(E16:AO16)</f>
        <v>14.5</v>
      </c>
      <c r="G16" s="7">
        <v>5.5</v>
      </c>
      <c r="N16" s="7">
        <v>1</v>
      </c>
      <c r="Z16" s="7">
        <v>8</v>
      </c>
    </row>
    <row r="17" spans="1:55" x14ac:dyDescent="0.3">
      <c r="B17" s="25"/>
      <c r="C17" s="26" t="s">
        <v>47</v>
      </c>
      <c r="D17" s="27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66">
        <v>7.5</v>
      </c>
      <c r="AQ17" s="67"/>
      <c r="AR17" s="62">
        <v>7.5</v>
      </c>
      <c r="AS17" s="63"/>
      <c r="AT17" s="66">
        <v>7.5</v>
      </c>
      <c r="AU17" s="67"/>
      <c r="AV17" s="62">
        <v>7.5</v>
      </c>
      <c r="AW17" s="63"/>
      <c r="AX17" s="66">
        <v>5</v>
      </c>
      <c r="AY17" s="67"/>
      <c r="AZ17" s="29">
        <v>0</v>
      </c>
      <c r="BA17" s="29"/>
      <c r="BB17" s="29">
        <v>0</v>
      </c>
      <c r="BC17" s="34"/>
    </row>
    <row r="18" spans="1:55" x14ac:dyDescent="0.3">
      <c r="B18" s="25"/>
      <c r="C18" s="35" t="s">
        <v>37</v>
      </c>
      <c r="D18" s="36">
        <f>SUM(AP18:BC18)</f>
        <v>0</v>
      </c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37"/>
      <c r="AK18" s="37"/>
      <c r="AL18" s="37"/>
      <c r="AM18" s="37"/>
      <c r="AN18" s="37"/>
      <c r="AO18" s="37"/>
      <c r="AP18" s="38">
        <v>0</v>
      </c>
      <c r="AQ18" s="38"/>
      <c r="AR18" s="37">
        <v>0</v>
      </c>
      <c r="AS18" s="37"/>
      <c r="AT18" s="41">
        <v>0</v>
      </c>
      <c r="AU18" s="41"/>
      <c r="AV18" s="37">
        <v>0</v>
      </c>
      <c r="AW18" s="37"/>
      <c r="AX18" s="41">
        <v>0</v>
      </c>
      <c r="AY18" s="41"/>
      <c r="AZ18" s="39">
        <v>0</v>
      </c>
      <c r="BA18" s="39"/>
      <c r="BB18" s="39">
        <v>0</v>
      </c>
      <c r="BC18" s="40"/>
    </row>
    <row r="19" spans="1:55" x14ac:dyDescent="0.3">
      <c r="A19" s="19"/>
      <c r="B19" s="20"/>
      <c r="C19" s="21" t="s">
        <v>36</v>
      </c>
      <c r="D19" s="22">
        <f>SUM(D11:D16)</f>
        <v>35</v>
      </c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32"/>
      <c r="AP19" s="60" t="s">
        <v>46</v>
      </c>
      <c r="AQ19" s="61"/>
      <c r="AR19" s="60" t="s">
        <v>46</v>
      </c>
      <c r="AS19" s="61"/>
      <c r="AT19" s="60" t="s">
        <v>46</v>
      </c>
      <c r="AU19" s="61"/>
      <c r="AV19" s="60" t="s">
        <v>46</v>
      </c>
      <c r="AW19" s="61"/>
      <c r="AX19" s="60" t="s">
        <v>46</v>
      </c>
      <c r="AY19" s="68"/>
      <c r="AZ19" s="33"/>
      <c r="BA19" s="24"/>
      <c r="BB19" s="24"/>
      <c r="BC19" s="24"/>
    </row>
    <row r="20" spans="1:55" x14ac:dyDescent="0.3">
      <c r="A20" s="18" t="s">
        <v>61</v>
      </c>
    </row>
    <row r="21" spans="1:55" x14ac:dyDescent="0.3">
      <c r="A21" s="9" t="s">
        <v>52</v>
      </c>
      <c r="C21" s="6" t="s">
        <v>81</v>
      </c>
      <c r="D21" s="8">
        <f>SUM(E21:AO21)</f>
        <v>35</v>
      </c>
      <c r="E21" s="7">
        <v>35</v>
      </c>
    </row>
    <row r="22" spans="1:55" x14ac:dyDescent="0.3">
      <c r="A22" s="9" t="s">
        <v>54</v>
      </c>
      <c r="C22" s="6" t="s">
        <v>35</v>
      </c>
    </row>
    <row r="23" spans="1:55" x14ac:dyDescent="0.3">
      <c r="B23" s="25"/>
      <c r="C23" s="26" t="s">
        <v>47</v>
      </c>
      <c r="D23" s="27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66">
        <v>7.5</v>
      </c>
      <c r="AQ23" s="67"/>
      <c r="AR23" s="62">
        <v>7.5</v>
      </c>
      <c r="AS23" s="63"/>
      <c r="AT23" s="66">
        <v>7.5</v>
      </c>
      <c r="AU23" s="67"/>
      <c r="AV23" s="62">
        <v>7.5</v>
      </c>
      <c r="AW23" s="63"/>
      <c r="AX23" s="66">
        <v>5</v>
      </c>
      <c r="AY23" s="67"/>
      <c r="AZ23" s="29">
        <v>0</v>
      </c>
      <c r="BA23" s="29"/>
      <c r="BB23" s="29">
        <v>0</v>
      </c>
      <c r="BC23" s="34"/>
    </row>
    <row r="24" spans="1:55" x14ac:dyDescent="0.3">
      <c r="B24" s="25"/>
      <c r="C24" s="35" t="s">
        <v>37</v>
      </c>
      <c r="D24" s="36">
        <f>SUM(AP24:BC24)</f>
        <v>0</v>
      </c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7"/>
      <c r="AN24" s="37"/>
      <c r="AO24" s="37"/>
      <c r="AP24" s="38">
        <v>0</v>
      </c>
      <c r="AQ24" s="38"/>
      <c r="AR24" s="37">
        <v>0</v>
      </c>
      <c r="AS24" s="37"/>
      <c r="AT24" s="41">
        <v>0</v>
      </c>
      <c r="AU24" s="41"/>
      <c r="AV24" s="37">
        <v>0</v>
      </c>
      <c r="AW24" s="37"/>
      <c r="AX24" s="41">
        <v>0</v>
      </c>
      <c r="AY24" s="41"/>
      <c r="AZ24" s="39">
        <v>0</v>
      </c>
      <c r="BA24" s="39"/>
      <c r="BB24" s="39">
        <v>0</v>
      </c>
      <c r="BC24" s="40"/>
    </row>
    <row r="25" spans="1:55" x14ac:dyDescent="0.3">
      <c r="A25" s="19"/>
      <c r="B25" s="20"/>
      <c r="C25" s="21" t="s">
        <v>36</v>
      </c>
      <c r="D25" s="22">
        <f>SUM(D20:D22)</f>
        <v>35</v>
      </c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32"/>
      <c r="AP25" s="60" t="s">
        <v>46</v>
      </c>
      <c r="AQ25" s="61"/>
      <c r="AR25" s="60" t="s">
        <v>46</v>
      </c>
      <c r="AS25" s="61"/>
      <c r="AT25" s="60" t="s">
        <v>46</v>
      </c>
      <c r="AU25" s="61"/>
      <c r="AV25" s="60" t="s">
        <v>46</v>
      </c>
      <c r="AW25" s="61"/>
      <c r="AX25" s="60" t="s">
        <v>46</v>
      </c>
      <c r="AY25" s="68"/>
      <c r="AZ25" s="33"/>
      <c r="BA25" s="24"/>
      <c r="BB25" s="24"/>
      <c r="BC25" s="24"/>
    </row>
    <row r="26" spans="1:55" x14ac:dyDescent="0.3">
      <c r="A26" s="18" t="s">
        <v>62</v>
      </c>
    </row>
    <row r="27" spans="1:55" x14ac:dyDescent="0.3">
      <c r="A27" s="9" t="s">
        <v>52</v>
      </c>
      <c r="C27" s="6" t="s">
        <v>78</v>
      </c>
      <c r="D27" s="8">
        <f>SUM(E27:AO27)</f>
        <v>37.5</v>
      </c>
      <c r="E27" s="7">
        <v>37.5</v>
      </c>
    </row>
    <row r="28" spans="1:55" x14ac:dyDescent="0.3">
      <c r="A28" s="9" t="s">
        <v>56</v>
      </c>
      <c r="C28" s="6" t="s">
        <v>35</v>
      </c>
    </row>
    <row r="29" spans="1:55" x14ac:dyDescent="0.3">
      <c r="B29" s="25"/>
      <c r="C29" s="26" t="s">
        <v>47</v>
      </c>
      <c r="D29" s="27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66">
        <v>8</v>
      </c>
      <c r="AQ29" s="67"/>
      <c r="AR29" s="62">
        <v>8</v>
      </c>
      <c r="AS29" s="63"/>
      <c r="AT29" s="66">
        <v>8</v>
      </c>
      <c r="AU29" s="67"/>
      <c r="AV29" s="62">
        <v>8</v>
      </c>
      <c r="AW29" s="63"/>
      <c r="AX29" s="66">
        <v>5.5</v>
      </c>
      <c r="AY29" s="67"/>
      <c r="AZ29" s="29">
        <v>0</v>
      </c>
      <c r="BA29" s="29"/>
      <c r="BB29" s="29">
        <v>0</v>
      </c>
      <c r="BC29" s="34"/>
    </row>
    <row r="30" spans="1:55" x14ac:dyDescent="0.3">
      <c r="A30" s="9" t="s">
        <v>49</v>
      </c>
      <c r="B30" s="25"/>
      <c r="C30" s="35" t="s">
        <v>37</v>
      </c>
      <c r="D30" s="36">
        <f>SUM(AP30:BC30)</f>
        <v>2.5</v>
      </c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7"/>
      <c r="AM30" s="37"/>
      <c r="AN30" s="37"/>
      <c r="AO30" s="37"/>
      <c r="AP30" s="38">
        <v>0.5</v>
      </c>
      <c r="AQ30" s="38"/>
      <c r="AR30" s="37">
        <v>0.5</v>
      </c>
      <c r="AS30" s="37"/>
      <c r="AT30" s="41">
        <v>0.5</v>
      </c>
      <c r="AU30" s="41"/>
      <c r="AV30" s="37">
        <v>0.5</v>
      </c>
      <c r="AW30" s="37"/>
      <c r="AX30" s="41">
        <v>0.5</v>
      </c>
      <c r="AY30" s="41"/>
      <c r="AZ30" s="39">
        <v>0</v>
      </c>
      <c r="BA30" s="39"/>
      <c r="BB30" s="39">
        <v>0</v>
      </c>
      <c r="BC30" s="40"/>
    </row>
    <row r="31" spans="1:55" x14ac:dyDescent="0.3">
      <c r="A31" s="19"/>
      <c r="B31" s="20"/>
      <c r="C31" s="21" t="s">
        <v>36</v>
      </c>
      <c r="D31" s="22">
        <f>SUM(D26:D28)</f>
        <v>37.5</v>
      </c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32"/>
      <c r="AP31" s="64" t="s">
        <v>45</v>
      </c>
      <c r="AQ31" s="69"/>
      <c r="AR31" s="64" t="s">
        <v>45</v>
      </c>
      <c r="AS31" s="69"/>
      <c r="AT31" s="60" t="s">
        <v>46</v>
      </c>
      <c r="AU31" s="61"/>
      <c r="AV31" s="60" t="s">
        <v>46</v>
      </c>
      <c r="AW31" s="61"/>
      <c r="AX31" s="64" t="s">
        <v>45</v>
      </c>
      <c r="AY31" s="65"/>
      <c r="AZ31" s="33"/>
      <c r="BA31" s="24"/>
      <c r="BB31" s="24"/>
      <c r="BC31" s="24"/>
    </row>
    <row r="32" spans="1:55" x14ac:dyDescent="0.3">
      <c r="A32" s="18" t="s">
        <v>77</v>
      </c>
    </row>
    <row r="33" spans="1:55" x14ac:dyDescent="0.3">
      <c r="A33" s="9" t="s">
        <v>52</v>
      </c>
      <c r="C33" s="6" t="s">
        <v>96</v>
      </c>
      <c r="D33" s="8">
        <f>SUM(E33:AO33)</f>
        <v>35</v>
      </c>
      <c r="E33" s="7">
        <v>30.5</v>
      </c>
      <c r="J33" s="7">
        <v>3.5</v>
      </c>
      <c r="N33" s="7">
        <v>1</v>
      </c>
    </row>
    <row r="34" spans="1:55" x14ac:dyDescent="0.3">
      <c r="A34" s="9" t="s">
        <v>54</v>
      </c>
      <c r="C34" s="6" t="s">
        <v>35</v>
      </c>
    </row>
    <row r="35" spans="1:55" x14ac:dyDescent="0.3">
      <c r="B35" s="25"/>
      <c r="C35" s="26" t="s">
        <v>47</v>
      </c>
      <c r="D35" s="27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66">
        <v>7.5</v>
      </c>
      <c r="AQ35" s="67"/>
      <c r="AR35" s="62">
        <v>7.5</v>
      </c>
      <c r="AS35" s="63"/>
      <c r="AT35" s="66">
        <v>7.5</v>
      </c>
      <c r="AU35" s="67"/>
      <c r="AV35" s="62">
        <v>7.5</v>
      </c>
      <c r="AW35" s="63"/>
      <c r="AX35" s="66">
        <v>5</v>
      </c>
      <c r="AY35" s="67"/>
      <c r="AZ35" s="29">
        <v>0</v>
      </c>
      <c r="BA35" s="29"/>
      <c r="BB35" s="29">
        <v>0</v>
      </c>
      <c r="BC35" s="34"/>
    </row>
    <row r="36" spans="1:55" x14ac:dyDescent="0.3">
      <c r="B36" s="25"/>
      <c r="C36" s="35" t="s">
        <v>37</v>
      </c>
      <c r="D36" s="36">
        <f>SUM(AP36:BC36)</f>
        <v>0</v>
      </c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37"/>
      <c r="AI36" s="37"/>
      <c r="AJ36" s="37"/>
      <c r="AK36" s="37"/>
      <c r="AL36" s="37"/>
      <c r="AM36" s="37"/>
      <c r="AN36" s="37"/>
      <c r="AO36" s="37"/>
      <c r="AP36" s="38">
        <v>0</v>
      </c>
      <c r="AQ36" s="38"/>
      <c r="AR36" s="37">
        <v>0</v>
      </c>
      <c r="AS36" s="37"/>
      <c r="AT36" s="41">
        <v>0</v>
      </c>
      <c r="AU36" s="41"/>
      <c r="AV36" s="37">
        <v>0</v>
      </c>
      <c r="AW36" s="37"/>
      <c r="AX36" s="41">
        <v>0</v>
      </c>
      <c r="AY36" s="41"/>
      <c r="AZ36" s="39">
        <v>0</v>
      </c>
      <c r="BA36" s="39"/>
      <c r="BB36" s="39">
        <v>0</v>
      </c>
      <c r="BC36" s="40"/>
    </row>
    <row r="37" spans="1:55" x14ac:dyDescent="0.3">
      <c r="A37" s="19"/>
      <c r="B37" s="20"/>
      <c r="C37" s="21" t="s">
        <v>36</v>
      </c>
      <c r="D37" s="22">
        <f>SUM(D32:D34)</f>
        <v>35</v>
      </c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32"/>
      <c r="AP37" s="60" t="s">
        <v>46</v>
      </c>
      <c r="AQ37" s="61"/>
      <c r="AR37" s="60" t="s">
        <v>46</v>
      </c>
      <c r="AS37" s="61"/>
      <c r="AT37" s="60" t="s">
        <v>46</v>
      </c>
      <c r="AU37" s="61"/>
      <c r="AV37" s="60" t="s">
        <v>46</v>
      </c>
      <c r="AW37" s="61"/>
      <c r="AX37" s="60" t="s">
        <v>46</v>
      </c>
      <c r="AY37" s="68"/>
      <c r="AZ37" s="33"/>
      <c r="BA37" s="24"/>
      <c r="BB37" s="24"/>
      <c r="BC37" s="24"/>
    </row>
    <row r="38" spans="1:55" x14ac:dyDescent="0.3">
      <c r="A38" s="18" t="s">
        <v>63</v>
      </c>
    </row>
    <row r="39" spans="1:55" x14ac:dyDescent="0.3">
      <c r="A39" s="9" t="s">
        <v>52</v>
      </c>
      <c r="C39" s="6" t="s">
        <v>110</v>
      </c>
      <c r="D39" s="8">
        <f>SUM(E39:AO39)</f>
        <v>35</v>
      </c>
      <c r="I39" s="7">
        <v>35</v>
      </c>
    </row>
    <row r="40" spans="1:55" x14ac:dyDescent="0.3">
      <c r="A40" s="9" t="s">
        <v>54</v>
      </c>
      <c r="C40" s="6" t="s">
        <v>35</v>
      </c>
    </row>
    <row r="41" spans="1:55" x14ac:dyDescent="0.3">
      <c r="B41" s="25"/>
      <c r="C41" s="26" t="s">
        <v>47</v>
      </c>
      <c r="D41" s="27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  <c r="AM41" s="28"/>
      <c r="AN41" s="28"/>
      <c r="AO41" s="28"/>
      <c r="AP41" s="66">
        <v>7.5</v>
      </c>
      <c r="AQ41" s="67"/>
      <c r="AR41" s="62">
        <v>7.5</v>
      </c>
      <c r="AS41" s="63"/>
      <c r="AT41" s="66">
        <v>7.5</v>
      </c>
      <c r="AU41" s="67"/>
      <c r="AV41" s="62">
        <v>7.5</v>
      </c>
      <c r="AW41" s="63"/>
      <c r="AX41" s="66">
        <v>5</v>
      </c>
      <c r="AY41" s="67"/>
      <c r="AZ41" s="29">
        <v>0</v>
      </c>
      <c r="BA41" s="29"/>
      <c r="BB41" s="29">
        <v>0</v>
      </c>
      <c r="BC41" s="34"/>
    </row>
    <row r="42" spans="1:55" x14ac:dyDescent="0.3">
      <c r="B42" s="25"/>
      <c r="C42" s="35" t="s">
        <v>37</v>
      </c>
      <c r="D42" s="36">
        <f>SUM(AP42:BC42)</f>
        <v>0</v>
      </c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7"/>
      <c r="AG42" s="37"/>
      <c r="AH42" s="37"/>
      <c r="AI42" s="37"/>
      <c r="AJ42" s="37"/>
      <c r="AK42" s="37"/>
      <c r="AL42" s="37"/>
      <c r="AM42" s="37"/>
      <c r="AN42" s="37"/>
      <c r="AO42" s="37"/>
      <c r="AP42" s="38">
        <v>0</v>
      </c>
      <c r="AQ42" s="38"/>
      <c r="AR42" s="37">
        <v>0</v>
      </c>
      <c r="AS42" s="37"/>
      <c r="AT42" s="41">
        <v>0</v>
      </c>
      <c r="AU42" s="41"/>
      <c r="AV42" s="37">
        <v>0</v>
      </c>
      <c r="AW42" s="37"/>
      <c r="AX42" s="41">
        <v>0</v>
      </c>
      <c r="AY42" s="41"/>
      <c r="AZ42" s="39">
        <v>0</v>
      </c>
      <c r="BA42" s="39"/>
      <c r="BB42" s="39">
        <v>0</v>
      </c>
      <c r="BC42" s="40"/>
    </row>
    <row r="43" spans="1:55" x14ac:dyDescent="0.3">
      <c r="A43" s="19"/>
      <c r="B43" s="20"/>
      <c r="C43" s="21" t="s">
        <v>36</v>
      </c>
      <c r="D43" s="22">
        <f>SUM(D38:D40)</f>
        <v>35</v>
      </c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32"/>
      <c r="AP43" s="60" t="s">
        <v>46</v>
      </c>
      <c r="AQ43" s="61"/>
      <c r="AR43" s="60" t="s">
        <v>46</v>
      </c>
      <c r="AS43" s="61"/>
      <c r="AT43" s="60" t="s">
        <v>46</v>
      </c>
      <c r="AU43" s="61"/>
      <c r="AV43" s="60" t="s">
        <v>46</v>
      </c>
      <c r="AW43" s="61"/>
      <c r="AX43" s="60" t="s">
        <v>46</v>
      </c>
      <c r="AY43" s="68"/>
      <c r="AZ43" s="33"/>
      <c r="BA43" s="24"/>
      <c r="BB43" s="24"/>
      <c r="BC43" s="24"/>
    </row>
    <row r="44" spans="1:55" x14ac:dyDescent="0.3">
      <c r="A44" s="18" t="s">
        <v>74</v>
      </c>
    </row>
    <row r="45" spans="1:55" x14ac:dyDescent="0.3">
      <c r="A45" s="9" t="s">
        <v>52</v>
      </c>
      <c r="C45" s="6" t="s">
        <v>105</v>
      </c>
      <c r="D45" s="8">
        <f>SUM(E45:AO45)</f>
        <v>11.5</v>
      </c>
      <c r="P45" s="7">
        <v>11.5</v>
      </c>
    </row>
    <row r="46" spans="1:55" x14ac:dyDescent="0.3">
      <c r="A46" s="9" t="s">
        <v>54</v>
      </c>
      <c r="C46" s="6" t="s">
        <v>114</v>
      </c>
      <c r="D46" s="8">
        <f>SUM(E46:AO46)</f>
        <v>1</v>
      </c>
      <c r="J46" s="7">
        <v>1</v>
      </c>
    </row>
    <row r="47" spans="1:55" x14ac:dyDescent="0.3">
      <c r="C47" s="6" t="s">
        <v>35</v>
      </c>
      <c r="D47" s="8">
        <f>SUM(E47:AO47)</f>
        <v>22.5</v>
      </c>
      <c r="Z47" s="7">
        <v>22.5</v>
      </c>
    </row>
    <row r="48" spans="1:55" x14ac:dyDescent="0.3">
      <c r="B48" s="25"/>
      <c r="C48" s="26" t="s">
        <v>47</v>
      </c>
      <c r="D48" s="27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  <c r="AM48" s="28"/>
      <c r="AN48" s="28"/>
      <c r="AO48" s="28"/>
      <c r="AP48" s="66">
        <v>7.5</v>
      </c>
      <c r="AQ48" s="67"/>
      <c r="AR48" s="62">
        <v>7.5</v>
      </c>
      <c r="AS48" s="63"/>
      <c r="AT48" s="66">
        <v>7.5</v>
      </c>
      <c r="AU48" s="67"/>
      <c r="AV48" s="62">
        <v>7.5</v>
      </c>
      <c r="AW48" s="63"/>
      <c r="AX48" s="66">
        <v>5</v>
      </c>
      <c r="AY48" s="67"/>
      <c r="AZ48" s="29">
        <v>0</v>
      </c>
      <c r="BA48" s="29"/>
      <c r="BB48" s="29">
        <v>0</v>
      </c>
      <c r="BC48" s="34"/>
    </row>
    <row r="49" spans="1:55" x14ac:dyDescent="0.3">
      <c r="B49" s="25"/>
      <c r="C49" s="35" t="s">
        <v>37</v>
      </c>
      <c r="D49" s="36">
        <f>SUM(AP49:BC49)</f>
        <v>0</v>
      </c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7"/>
      <c r="AD49" s="37"/>
      <c r="AE49" s="37"/>
      <c r="AF49" s="37"/>
      <c r="AG49" s="37"/>
      <c r="AH49" s="37"/>
      <c r="AI49" s="37"/>
      <c r="AJ49" s="37"/>
      <c r="AK49" s="37"/>
      <c r="AL49" s="37"/>
      <c r="AM49" s="37"/>
      <c r="AN49" s="37"/>
      <c r="AO49" s="37"/>
      <c r="AP49" s="38">
        <v>0</v>
      </c>
      <c r="AQ49" s="38"/>
      <c r="AR49" s="37">
        <v>0</v>
      </c>
      <c r="AS49" s="37"/>
      <c r="AT49" s="41">
        <v>0</v>
      </c>
      <c r="AU49" s="41"/>
      <c r="AV49" s="37">
        <v>0</v>
      </c>
      <c r="AW49" s="37"/>
      <c r="AX49" s="41">
        <v>0</v>
      </c>
      <c r="AY49" s="41"/>
      <c r="AZ49" s="39">
        <v>0</v>
      </c>
      <c r="BA49" s="39"/>
      <c r="BB49" s="39">
        <v>0</v>
      </c>
      <c r="BC49" s="40"/>
    </row>
    <row r="50" spans="1:55" x14ac:dyDescent="0.3">
      <c r="A50" s="19"/>
      <c r="B50" s="20"/>
      <c r="C50" s="21" t="s">
        <v>36</v>
      </c>
      <c r="D50" s="22">
        <f>SUM(D44:D47)</f>
        <v>35</v>
      </c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32"/>
      <c r="AP50" s="60" t="s">
        <v>46</v>
      </c>
      <c r="AQ50" s="61"/>
      <c r="AR50" s="60" t="s">
        <v>46</v>
      </c>
      <c r="AS50" s="61"/>
      <c r="AT50" s="60" t="s">
        <v>46</v>
      </c>
      <c r="AU50" s="61"/>
      <c r="AV50" s="60" t="s">
        <v>46</v>
      </c>
      <c r="AW50" s="61"/>
      <c r="AX50" s="60" t="s">
        <v>46</v>
      </c>
      <c r="AY50" s="68"/>
      <c r="AZ50" s="33"/>
      <c r="BA50" s="24"/>
      <c r="BB50" s="24"/>
      <c r="BC50" s="24"/>
    </row>
    <row r="51" spans="1:55" x14ac:dyDescent="0.3">
      <c r="A51" s="18" t="s">
        <v>64</v>
      </c>
    </row>
    <row r="52" spans="1:55" x14ac:dyDescent="0.3">
      <c r="A52" s="9" t="s">
        <v>52</v>
      </c>
      <c r="C52" s="6" t="s">
        <v>35</v>
      </c>
      <c r="D52" s="8">
        <f>SUM(E52:AO52)</f>
        <v>35</v>
      </c>
      <c r="Z52" s="7">
        <v>35</v>
      </c>
    </row>
    <row r="53" spans="1:55" x14ac:dyDescent="0.3">
      <c r="A53" s="9" t="s">
        <v>54</v>
      </c>
    </row>
    <row r="54" spans="1:55" x14ac:dyDescent="0.3">
      <c r="B54" s="25"/>
      <c r="C54" s="26" t="s">
        <v>47</v>
      </c>
      <c r="D54" s="27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  <c r="AI54" s="28"/>
      <c r="AJ54" s="28"/>
      <c r="AK54" s="28"/>
      <c r="AL54" s="28"/>
      <c r="AM54" s="28"/>
      <c r="AN54" s="28"/>
      <c r="AO54" s="28"/>
      <c r="AP54" s="66">
        <v>7.5</v>
      </c>
      <c r="AQ54" s="67"/>
      <c r="AR54" s="62">
        <v>7.5</v>
      </c>
      <c r="AS54" s="63"/>
      <c r="AT54" s="66">
        <v>7.5</v>
      </c>
      <c r="AU54" s="67"/>
      <c r="AV54" s="62">
        <v>7.5</v>
      </c>
      <c r="AW54" s="63"/>
      <c r="AX54" s="66">
        <v>5</v>
      </c>
      <c r="AY54" s="67"/>
      <c r="AZ54" s="29">
        <v>0</v>
      </c>
      <c r="BA54" s="29"/>
      <c r="BB54" s="29">
        <v>0</v>
      </c>
      <c r="BC54" s="34"/>
    </row>
    <row r="55" spans="1:55" x14ac:dyDescent="0.3">
      <c r="B55" s="25"/>
      <c r="C55" s="35" t="s">
        <v>37</v>
      </c>
      <c r="D55" s="36">
        <f>SUM(AP55:BC55)</f>
        <v>0</v>
      </c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  <c r="AB55" s="37"/>
      <c r="AC55" s="37"/>
      <c r="AD55" s="37"/>
      <c r="AE55" s="37"/>
      <c r="AF55" s="37"/>
      <c r="AG55" s="37"/>
      <c r="AH55" s="37"/>
      <c r="AI55" s="37"/>
      <c r="AJ55" s="37"/>
      <c r="AK55" s="37"/>
      <c r="AL55" s="37"/>
      <c r="AM55" s="37"/>
      <c r="AN55" s="37"/>
      <c r="AO55" s="37"/>
      <c r="AP55" s="38">
        <v>0</v>
      </c>
      <c r="AQ55" s="38"/>
      <c r="AR55" s="37">
        <v>0</v>
      </c>
      <c r="AS55" s="37"/>
      <c r="AT55" s="41">
        <v>0</v>
      </c>
      <c r="AU55" s="41"/>
      <c r="AV55" s="37">
        <v>0</v>
      </c>
      <c r="AW55" s="37"/>
      <c r="AX55" s="41">
        <v>0</v>
      </c>
      <c r="AY55" s="41"/>
      <c r="AZ55" s="39">
        <v>0</v>
      </c>
      <c r="BA55" s="39"/>
      <c r="BB55" s="39">
        <v>0</v>
      </c>
      <c r="BC55" s="40"/>
    </row>
    <row r="56" spans="1:55" x14ac:dyDescent="0.3">
      <c r="A56" s="19"/>
      <c r="B56" s="20"/>
      <c r="C56" s="21" t="s">
        <v>36</v>
      </c>
      <c r="D56" s="22">
        <f>SUM(D51:D52)</f>
        <v>35</v>
      </c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32"/>
      <c r="AP56" s="60" t="s">
        <v>46</v>
      </c>
      <c r="AQ56" s="61"/>
      <c r="AR56" s="60" t="s">
        <v>46</v>
      </c>
      <c r="AS56" s="61"/>
      <c r="AT56" s="60" t="s">
        <v>46</v>
      </c>
      <c r="AU56" s="61"/>
      <c r="AV56" s="60" t="s">
        <v>46</v>
      </c>
      <c r="AW56" s="61"/>
      <c r="AX56" s="60" t="s">
        <v>46</v>
      </c>
      <c r="AY56" s="68"/>
      <c r="AZ56" s="33"/>
      <c r="BA56" s="24"/>
      <c r="BB56" s="24"/>
      <c r="BC56" s="24"/>
    </row>
    <row r="57" spans="1:55" x14ac:dyDescent="0.3">
      <c r="A57" s="18" t="s">
        <v>65</v>
      </c>
    </row>
    <row r="58" spans="1:55" x14ac:dyDescent="0.3">
      <c r="A58" s="9" t="s">
        <v>58</v>
      </c>
      <c r="C58" s="6" t="s">
        <v>35</v>
      </c>
      <c r="D58" s="8">
        <f>SUM(E58:AO58)</f>
        <v>35</v>
      </c>
      <c r="AA58" s="7">
        <v>35</v>
      </c>
      <c r="AP58" s="15">
        <v>7</v>
      </c>
      <c r="AQ58" s="15" t="s">
        <v>15</v>
      </c>
      <c r="AR58" s="7">
        <v>7</v>
      </c>
      <c r="AS58" s="7" t="s">
        <v>15</v>
      </c>
      <c r="AT58" s="12">
        <v>7</v>
      </c>
      <c r="AU58" s="12" t="s">
        <v>15</v>
      </c>
      <c r="AV58" s="7">
        <v>7</v>
      </c>
      <c r="AW58" s="7" t="s">
        <v>15</v>
      </c>
      <c r="AX58" s="12">
        <v>7</v>
      </c>
      <c r="AY58" s="12" t="s">
        <v>15</v>
      </c>
    </row>
    <row r="59" spans="1:55" x14ac:dyDescent="0.3">
      <c r="A59" s="9" t="s">
        <v>54</v>
      </c>
    </row>
    <row r="60" spans="1:55" x14ac:dyDescent="0.3">
      <c r="B60" s="25"/>
      <c r="C60" s="26" t="s">
        <v>47</v>
      </c>
      <c r="D60" s="27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  <c r="AK60" s="28"/>
      <c r="AL60" s="28"/>
      <c r="AM60" s="28"/>
      <c r="AN60" s="28"/>
      <c r="AO60" s="28"/>
      <c r="AP60" s="66"/>
      <c r="AQ60" s="67"/>
      <c r="AR60" s="62"/>
      <c r="AS60" s="63"/>
      <c r="AT60" s="66"/>
      <c r="AU60" s="67"/>
      <c r="AV60" s="62"/>
      <c r="AW60" s="63"/>
      <c r="AX60" s="66"/>
      <c r="AY60" s="67"/>
      <c r="AZ60" s="29">
        <v>0</v>
      </c>
      <c r="BA60" s="29"/>
      <c r="BB60" s="29">
        <v>0</v>
      </c>
      <c r="BC60" s="34"/>
    </row>
    <row r="61" spans="1:55" x14ac:dyDescent="0.3">
      <c r="B61" s="25"/>
      <c r="C61" s="35" t="s">
        <v>37</v>
      </c>
      <c r="D61" s="36">
        <f>SUM(AP61:BC61)</f>
        <v>0</v>
      </c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37"/>
      <c r="AE61" s="37"/>
      <c r="AF61" s="37"/>
      <c r="AG61" s="37"/>
      <c r="AH61" s="37"/>
      <c r="AI61" s="37"/>
      <c r="AJ61" s="37"/>
      <c r="AK61" s="37"/>
      <c r="AL61" s="37"/>
      <c r="AM61" s="37"/>
      <c r="AN61" s="37"/>
      <c r="AO61" s="37"/>
      <c r="AP61" s="38">
        <v>0</v>
      </c>
      <c r="AQ61" s="38"/>
      <c r="AR61" s="37">
        <v>0</v>
      </c>
      <c r="AS61" s="37"/>
      <c r="AT61" s="41">
        <v>0</v>
      </c>
      <c r="AU61" s="41"/>
      <c r="AV61" s="37">
        <v>0</v>
      </c>
      <c r="AW61" s="37"/>
      <c r="AX61" s="41">
        <v>0</v>
      </c>
      <c r="AY61" s="41"/>
      <c r="AZ61" s="39">
        <v>0</v>
      </c>
      <c r="BA61" s="39"/>
      <c r="BB61" s="39">
        <v>0</v>
      </c>
      <c r="BC61" s="40"/>
    </row>
    <row r="62" spans="1:55" x14ac:dyDescent="0.3">
      <c r="A62" s="19"/>
      <c r="B62" s="20"/>
      <c r="C62" s="21" t="s">
        <v>36</v>
      </c>
      <c r="D62" s="22">
        <f>SUM(D57:D58)</f>
        <v>35</v>
      </c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32"/>
      <c r="AP62" s="70" t="s">
        <v>44</v>
      </c>
      <c r="AQ62" s="71"/>
      <c r="AR62" s="70" t="s">
        <v>44</v>
      </c>
      <c r="AS62" s="71"/>
      <c r="AT62" s="70" t="s">
        <v>44</v>
      </c>
      <c r="AU62" s="71"/>
      <c r="AV62" s="70" t="s">
        <v>44</v>
      </c>
      <c r="AW62" s="71"/>
      <c r="AX62" s="70" t="s">
        <v>44</v>
      </c>
      <c r="AY62" s="72"/>
      <c r="AZ62" s="33"/>
      <c r="BA62" s="24"/>
      <c r="BB62" s="24"/>
      <c r="BC62" s="24"/>
    </row>
    <row r="63" spans="1:55" x14ac:dyDescent="0.3">
      <c r="A63" s="18" t="s">
        <v>66</v>
      </c>
    </row>
    <row r="64" spans="1:55" x14ac:dyDescent="0.3">
      <c r="A64" s="9" t="s">
        <v>52</v>
      </c>
      <c r="C64" s="6" t="s">
        <v>84</v>
      </c>
      <c r="D64" s="8">
        <f>SUM(E64:AO64)</f>
        <v>37.5</v>
      </c>
      <c r="V64" s="7">
        <v>37.5</v>
      </c>
    </row>
    <row r="65" spans="1:55" x14ac:dyDescent="0.3">
      <c r="A65" s="9" t="s">
        <v>57</v>
      </c>
      <c r="C65" s="6" t="s">
        <v>35</v>
      </c>
    </row>
    <row r="66" spans="1:55" x14ac:dyDescent="0.3">
      <c r="B66" s="25"/>
      <c r="C66" s="26" t="s">
        <v>47</v>
      </c>
      <c r="D66" s="27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28"/>
      <c r="AJ66" s="28"/>
      <c r="AK66" s="28"/>
      <c r="AL66" s="28"/>
      <c r="AM66" s="28"/>
      <c r="AN66" s="28"/>
      <c r="AO66" s="28"/>
      <c r="AP66" s="66">
        <v>7.5</v>
      </c>
      <c r="AQ66" s="67"/>
      <c r="AR66" s="62">
        <v>7.5</v>
      </c>
      <c r="AS66" s="63"/>
      <c r="AT66" s="66">
        <v>7.5</v>
      </c>
      <c r="AU66" s="67"/>
      <c r="AV66" s="62">
        <v>7.5</v>
      </c>
      <c r="AW66" s="63"/>
      <c r="AX66" s="66">
        <v>7.5</v>
      </c>
      <c r="AY66" s="67"/>
      <c r="AZ66" s="29">
        <v>0</v>
      </c>
      <c r="BA66" s="29"/>
      <c r="BB66" s="29">
        <v>0</v>
      </c>
      <c r="BC66" s="34"/>
    </row>
    <row r="67" spans="1:55" x14ac:dyDescent="0.3">
      <c r="B67" s="25"/>
      <c r="C67" s="35" t="s">
        <v>37</v>
      </c>
      <c r="D67" s="36">
        <f>SUM(AP67:BC67)</f>
        <v>2.5</v>
      </c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  <c r="AD67" s="37"/>
      <c r="AE67" s="37"/>
      <c r="AF67" s="37"/>
      <c r="AG67" s="37"/>
      <c r="AH67" s="37"/>
      <c r="AI67" s="37"/>
      <c r="AJ67" s="37"/>
      <c r="AK67" s="37"/>
      <c r="AL67" s="37"/>
      <c r="AM67" s="37"/>
      <c r="AN67" s="37"/>
      <c r="AO67" s="37"/>
      <c r="AP67" s="38">
        <v>0.5</v>
      </c>
      <c r="AQ67" s="38"/>
      <c r="AR67" s="37">
        <v>0.5</v>
      </c>
      <c r="AS67" s="37"/>
      <c r="AT67" s="41">
        <v>0.5</v>
      </c>
      <c r="AU67" s="41"/>
      <c r="AV67" s="37">
        <v>0.5</v>
      </c>
      <c r="AW67" s="37"/>
      <c r="AX67" s="41">
        <v>0.5</v>
      </c>
      <c r="AY67" s="41"/>
      <c r="AZ67" s="39">
        <v>0</v>
      </c>
      <c r="BA67" s="39"/>
      <c r="BB67" s="39">
        <v>0</v>
      </c>
      <c r="BC67" s="40"/>
    </row>
    <row r="68" spans="1:55" x14ac:dyDescent="0.3">
      <c r="A68" s="19"/>
      <c r="B68" s="20"/>
      <c r="C68" s="21" t="s">
        <v>36</v>
      </c>
      <c r="D68" s="22">
        <f>SUM(D63:D65)</f>
        <v>37.5</v>
      </c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32"/>
      <c r="AP68" s="60" t="s">
        <v>46</v>
      </c>
      <c r="AQ68" s="61"/>
      <c r="AR68" s="60" t="s">
        <v>46</v>
      </c>
      <c r="AS68" s="61"/>
      <c r="AT68" s="64" t="s">
        <v>45</v>
      </c>
      <c r="AU68" s="69"/>
      <c r="AV68" s="60" t="s">
        <v>46</v>
      </c>
      <c r="AW68" s="61"/>
      <c r="AX68" s="64" t="s">
        <v>45</v>
      </c>
      <c r="AY68" s="65"/>
      <c r="AZ68" s="33"/>
      <c r="BA68" s="24"/>
      <c r="BB68" s="24"/>
      <c r="BC68" s="24"/>
    </row>
    <row r="69" spans="1:55" x14ac:dyDescent="0.3">
      <c r="A69" s="18" t="s">
        <v>67</v>
      </c>
    </row>
    <row r="70" spans="1:55" x14ac:dyDescent="0.3">
      <c r="A70" s="9" t="s">
        <v>52</v>
      </c>
      <c r="C70" s="6" t="s">
        <v>103</v>
      </c>
      <c r="D70" s="8">
        <f>SUM(E70:AO70)</f>
        <v>35</v>
      </c>
      <c r="P70" s="7">
        <v>35</v>
      </c>
    </row>
    <row r="71" spans="1:55" x14ac:dyDescent="0.3">
      <c r="A71" s="9" t="s">
        <v>54</v>
      </c>
      <c r="C71" s="6" t="s">
        <v>35</v>
      </c>
    </row>
    <row r="72" spans="1:55" x14ac:dyDescent="0.3">
      <c r="B72" s="25"/>
      <c r="C72" s="26" t="s">
        <v>47</v>
      </c>
      <c r="D72" s="27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  <c r="AJ72" s="28"/>
      <c r="AK72" s="28"/>
      <c r="AL72" s="28"/>
      <c r="AM72" s="28"/>
      <c r="AN72" s="28"/>
      <c r="AO72" s="28"/>
      <c r="AP72" s="66">
        <v>7.5</v>
      </c>
      <c r="AQ72" s="67"/>
      <c r="AR72" s="62">
        <v>7.5</v>
      </c>
      <c r="AS72" s="63"/>
      <c r="AT72" s="66">
        <v>7.5</v>
      </c>
      <c r="AU72" s="67"/>
      <c r="AV72" s="62">
        <v>7.5</v>
      </c>
      <c r="AW72" s="63"/>
      <c r="AX72" s="66">
        <v>5</v>
      </c>
      <c r="AY72" s="67"/>
      <c r="AZ72" s="29">
        <v>0</v>
      </c>
      <c r="BA72" s="29"/>
      <c r="BB72" s="29">
        <v>0</v>
      </c>
      <c r="BC72" s="34"/>
    </row>
    <row r="73" spans="1:55" x14ac:dyDescent="0.3">
      <c r="B73" s="25"/>
      <c r="C73" s="35" t="s">
        <v>37</v>
      </c>
      <c r="D73" s="36">
        <f>SUM(AP73:BC73)</f>
        <v>0</v>
      </c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  <c r="AA73" s="37"/>
      <c r="AB73" s="37"/>
      <c r="AC73" s="37"/>
      <c r="AD73" s="37"/>
      <c r="AE73" s="37"/>
      <c r="AF73" s="37"/>
      <c r="AG73" s="37"/>
      <c r="AH73" s="37"/>
      <c r="AI73" s="37"/>
      <c r="AJ73" s="37"/>
      <c r="AK73" s="37"/>
      <c r="AL73" s="37"/>
      <c r="AM73" s="37"/>
      <c r="AN73" s="37"/>
      <c r="AO73" s="37"/>
      <c r="AP73" s="38">
        <v>0</v>
      </c>
      <c r="AQ73" s="38"/>
      <c r="AR73" s="37">
        <v>0</v>
      </c>
      <c r="AS73" s="37"/>
      <c r="AT73" s="41">
        <v>0</v>
      </c>
      <c r="AU73" s="41"/>
      <c r="AV73" s="37">
        <v>0</v>
      </c>
      <c r="AW73" s="37"/>
      <c r="AX73" s="41">
        <v>0</v>
      </c>
      <c r="AY73" s="41"/>
      <c r="AZ73" s="39">
        <v>0</v>
      </c>
      <c r="BA73" s="39"/>
      <c r="BB73" s="39">
        <v>0</v>
      </c>
      <c r="BC73" s="40"/>
    </row>
    <row r="74" spans="1:55" x14ac:dyDescent="0.3">
      <c r="A74" s="19"/>
      <c r="B74" s="20"/>
      <c r="C74" s="21" t="s">
        <v>36</v>
      </c>
      <c r="D74" s="22">
        <f>SUM(D69:D71)</f>
        <v>35</v>
      </c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32"/>
      <c r="AP74" s="60" t="s">
        <v>46</v>
      </c>
      <c r="AQ74" s="61"/>
      <c r="AR74" s="60" t="s">
        <v>46</v>
      </c>
      <c r="AS74" s="61"/>
      <c r="AT74" s="60" t="s">
        <v>46</v>
      </c>
      <c r="AU74" s="61"/>
      <c r="AV74" s="60" t="s">
        <v>46</v>
      </c>
      <c r="AW74" s="61"/>
      <c r="AX74" s="60" t="s">
        <v>46</v>
      </c>
      <c r="AY74" s="68"/>
      <c r="AZ74" s="33"/>
      <c r="BA74" s="24"/>
      <c r="BB74" s="24"/>
      <c r="BC74" s="24"/>
    </row>
    <row r="75" spans="1:55" x14ac:dyDescent="0.3">
      <c r="A75" s="18" t="s">
        <v>68</v>
      </c>
    </row>
    <row r="76" spans="1:55" x14ac:dyDescent="0.3">
      <c r="A76" s="9" t="s">
        <v>52</v>
      </c>
      <c r="C76" s="6" t="s">
        <v>59</v>
      </c>
      <c r="D76" s="8">
        <f>SUM(E76:AO76)</f>
        <v>3</v>
      </c>
      <c r="E76" s="7">
        <v>3</v>
      </c>
    </row>
    <row r="77" spans="1:55" x14ac:dyDescent="0.3">
      <c r="A77" s="9" t="s">
        <v>55</v>
      </c>
      <c r="C77" s="6" t="s">
        <v>86</v>
      </c>
    </row>
    <row r="78" spans="1:55" x14ac:dyDescent="0.3">
      <c r="C78" s="6" t="s">
        <v>98</v>
      </c>
      <c r="D78" s="8">
        <f>SUM(E78:AO78)</f>
        <v>4</v>
      </c>
      <c r="K78" s="7">
        <v>4</v>
      </c>
    </row>
    <row r="79" spans="1:55" x14ac:dyDescent="0.3">
      <c r="C79" s="6" t="s">
        <v>97</v>
      </c>
    </row>
    <row r="80" spans="1:55" x14ac:dyDescent="0.3">
      <c r="C80" s="6" t="s">
        <v>106</v>
      </c>
    </row>
    <row r="81" spans="1:55" x14ac:dyDescent="0.3">
      <c r="C81" s="6" t="s">
        <v>35</v>
      </c>
      <c r="D81" s="8">
        <f>SUM(E81:AO81)</f>
        <v>28</v>
      </c>
      <c r="G81" s="7">
        <v>9.5</v>
      </c>
      <c r="Z81" s="7">
        <v>12.5</v>
      </c>
      <c r="AL81" s="7">
        <v>6</v>
      </c>
    </row>
    <row r="82" spans="1:55" x14ac:dyDescent="0.3">
      <c r="B82" s="25"/>
      <c r="C82" s="26" t="s">
        <v>47</v>
      </c>
      <c r="D82" s="27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28"/>
      <c r="AJ82" s="28"/>
      <c r="AK82" s="28"/>
      <c r="AL82" s="28"/>
      <c r="AM82" s="28"/>
      <c r="AN82" s="28"/>
      <c r="AO82" s="28"/>
      <c r="AP82" s="66">
        <v>7.5</v>
      </c>
      <c r="AQ82" s="67"/>
      <c r="AR82" s="62">
        <v>7.5</v>
      </c>
      <c r="AS82" s="63"/>
      <c r="AT82" s="66">
        <v>7.5</v>
      </c>
      <c r="AU82" s="67"/>
      <c r="AV82" s="62">
        <v>7.5</v>
      </c>
      <c r="AW82" s="63"/>
      <c r="AX82" s="66">
        <v>5</v>
      </c>
      <c r="AY82" s="67"/>
      <c r="AZ82" s="29">
        <v>0</v>
      </c>
      <c r="BA82" s="29"/>
      <c r="BB82" s="29">
        <v>0</v>
      </c>
      <c r="BC82" s="34"/>
    </row>
    <row r="83" spans="1:55" x14ac:dyDescent="0.3">
      <c r="B83" s="25"/>
      <c r="C83" s="35" t="s">
        <v>37</v>
      </c>
      <c r="D83" s="36">
        <f>SUM(AP83:BC83)</f>
        <v>0</v>
      </c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  <c r="AA83" s="37"/>
      <c r="AB83" s="37"/>
      <c r="AC83" s="37"/>
      <c r="AD83" s="37"/>
      <c r="AE83" s="37"/>
      <c r="AF83" s="37"/>
      <c r="AG83" s="37"/>
      <c r="AH83" s="37"/>
      <c r="AI83" s="37"/>
      <c r="AJ83" s="37"/>
      <c r="AK83" s="37"/>
      <c r="AL83" s="37"/>
      <c r="AM83" s="37"/>
      <c r="AN83" s="37"/>
      <c r="AO83" s="37"/>
      <c r="AP83" s="38">
        <v>0</v>
      </c>
      <c r="AQ83" s="38"/>
      <c r="AR83" s="37">
        <v>0</v>
      </c>
      <c r="AS83" s="37"/>
      <c r="AT83" s="41">
        <v>0</v>
      </c>
      <c r="AU83" s="41"/>
      <c r="AV83" s="37">
        <v>0</v>
      </c>
      <c r="AW83" s="37"/>
      <c r="AX83" s="41">
        <v>0</v>
      </c>
      <c r="AY83" s="41"/>
      <c r="AZ83" s="39">
        <v>0</v>
      </c>
      <c r="BA83" s="39"/>
      <c r="BB83" s="39">
        <v>0</v>
      </c>
      <c r="BC83" s="40"/>
    </row>
    <row r="84" spans="1:55" x14ac:dyDescent="0.3">
      <c r="A84" s="19"/>
      <c r="B84" s="20"/>
      <c r="C84" s="21" t="s">
        <v>36</v>
      </c>
      <c r="D84" s="22">
        <f>SUM(D75:D81)</f>
        <v>35</v>
      </c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32"/>
      <c r="AP84" s="60" t="s">
        <v>46</v>
      </c>
      <c r="AQ84" s="61"/>
      <c r="AR84" s="64" t="s">
        <v>45</v>
      </c>
      <c r="AS84" s="69"/>
      <c r="AT84" s="60" t="s">
        <v>46</v>
      </c>
      <c r="AU84" s="61"/>
      <c r="AV84" s="60" t="s">
        <v>46</v>
      </c>
      <c r="AW84" s="61"/>
      <c r="AX84" s="60" t="s">
        <v>46</v>
      </c>
      <c r="AY84" s="68"/>
      <c r="AZ84" s="33"/>
      <c r="BA84" s="24"/>
      <c r="BB84" s="24"/>
      <c r="BC84" s="24"/>
    </row>
    <row r="85" spans="1:55" x14ac:dyDescent="0.3">
      <c r="A85" s="18" t="s">
        <v>88</v>
      </c>
    </row>
    <row r="86" spans="1:55" x14ac:dyDescent="0.3">
      <c r="A86" s="9" t="s">
        <v>52</v>
      </c>
      <c r="C86" s="6" t="s">
        <v>96</v>
      </c>
      <c r="D86" s="8">
        <f>SUM(E86:AO86)</f>
        <v>35</v>
      </c>
      <c r="E86" s="7">
        <v>33.5</v>
      </c>
      <c r="J86" s="7">
        <v>1.5</v>
      </c>
    </row>
    <row r="87" spans="1:55" x14ac:dyDescent="0.3">
      <c r="A87" s="9" t="s">
        <v>54</v>
      </c>
      <c r="C87" s="6" t="s">
        <v>35</v>
      </c>
    </row>
    <row r="88" spans="1:55" x14ac:dyDescent="0.3">
      <c r="B88" s="25"/>
      <c r="C88" s="26" t="s">
        <v>47</v>
      </c>
      <c r="D88" s="27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  <c r="AO88" s="28"/>
      <c r="AP88" s="66">
        <v>7.5</v>
      </c>
      <c r="AQ88" s="67"/>
      <c r="AR88" s="62">
        <v>7.5</v>
      </c>
      <c r="AS88" s="63"/>
      <c r="AT88" s="66">
        <v>7.5</v>
      </c>
      <c r="AU88" s="67"/>
      <c r="AV88" s="62">
        <v>7.5</v>
      </c>
      <c r="AW88" s="63"/>
      <c r="AX88" s="66">
        <v>5</v>
      </c>
      <c r="AY88" s="67"/>
      <c r="AZ88" s="29">
        <v>0</v>
      </c>
      <c r="BA88" s="29"/>
      <c r="BB88" s="29">
        <v>0</v>
      </c>
      <c r="BC88" s="34"/>
    </row>
    <row r="89" spans="1:55" x14ac:dyDescent="0.3">
      <c r="B89" s="25"/>
      <c r="C89" s="35" t="s">
        <v>37</v>
      </c>
      <c r="D89" s="36">
        <f>SUM(AP89:BC89)</f>
        <v>0</v>
      </c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  <c r="AD89" s="37"/>
      <c r="AE89" s="37"/>
      <c r="AF89" s="37"/>
      <c r="AG89" s="37"/>
      <c r="AH89" s="37"/>
      <c r="AI89" s="37"/>
      <c r="AJ89" s="37"/>
      <c r="AK89" s="37"/>
      <c r="AL89" s="37"/>
      <c r="AM89" s="37"/>
      <c r="AN89" s="37"/>
      <c r="AO89" s="37"/>
      <c r="AP89" s="38">
        <v>0</v>
      </c>
      <c r="AQ89" s="38"/>
      <c r="AR89" s="37">
        <v>0</v>
      </c>
      <c r="AS89" s="37"/>
      <c r="AT89" s="41">
        <v>0</v>
      </c>
      <c r="AU89" s="41"/>
      <c r="AV89" s="37">
        <v>0</v>
      </c>
      <c r="AW89" s="37"/>
      <c r="AX89" s="41">
        <v>0</v>
      </c>
      <c r="AY89" s="41"/>
      <c r="AZ89" s="39">
        <v>0</v>
      </c>
      <c r="BA89" s="39"/>
      <c r="BB89" s="39">
        <v>0</v>
      </c>
      <c r="BC89" s="40"/>
    </row>
    <row r="90" spans="1:55" x14ac:dyDescent="0.3">
      <c r="A90" s="19"/>
      <c r="B90" s="20"/>
      <c r="C90" s="21" t="s">
        <v>36</v>
      </c>
      <c r="D90" s="22">
        <f>SUM(D85:D87)</f>
        <v>35</v>
      </c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32"/>
      <c r="AP90" s="60" t="s">
        <v>46</v>
      </c>
      <c r="AQ90" s="61"/>
      <c r="AR90" s="60" t="s">
        <v>46</v>
      </c>
      <c r="AS90" s="61"/>
      <c r="AT90" s="60" t="s">
        <v>46</v>
      </c>
      <c r="AU90" s="61"/>
      <c r="AV90" s="60" t="s">
        <v>46</v>
      </c>
      <c r="AW90" s="61"/>
      <c r="AX90" s="60" t="s">
        <v>46</v>
      </c>
      <c r="AY90" s="68"/>
      <c r="AZ90" s="33"/>
      <c r="BA90" s="24"/>
      <c r="BB90" s="24"/>
      <c r="BC90" s="24"/>
    </row>
    <row r="91" spans="1:55" x14ac:dyDescent="0.3">
      <c r="A91" s="18" t="s">
        <v>75</v>
      </c>
    </row>
    <row r="92" spans="1:55" x14ac:dyDescent="0.3">
      <c r="A92" s="9" t="s">
        <v>53</v>
      </c>
      <c r="C92" s="6" t="s">
        <v>35</v>
      </c>
      <c r="D92" s="8">
        <f>SUM(E92:AO92)</f>
        <v>35</v>
      </c>
      <c r="AA92" s="7">
        <v>7</v>
      </c>
      <c r="AL92" s="7">
        <v>28</v>
      </c>
      <c r="AX92" s="12">
        <v>7</v>
      </c>
      <c r="AY92" s="12" t="s">
        <v>15</v>
      </c>
    </row>
    <row r="93" spans="1:55" x14ac:dyDescent="0.3">
      <c r="A93" s="9" t="s">
        <v>54</v>
      </c>
    </row>
    <row r="94" spans="1:55" x14ac:dyDescent="0.3">
      <c r="B94" s="25"/>
      <c r="C94" s="26" t="s">
        <v>47</v>
      </c>
      <c r="D94" s="27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  <c r="AF94" s="28"/>
      <c r="AG94" s="28"/>
      <c r="AH94" s="28"/>
      <c r="AI94" s="28"/>
      <c r="AJ94" s="28"/>
      <c r="AK94" s="28"/>
      <c r="AL94" s="28"/>
      <c r="AM94" s="28"/>
      <c r="AN94" s="28"/>
      <c r="AO94" s="28"/>
      <c r="AP94" s="66">
        <v>7</v>
      </c>
      <c r="AQ94" s="67"/>
      <c r="AR94" s="62">
        <v>7</v>
      </c>
      <c r="AS94" s="63"/>
      <c r="AT94" s="66">
        <v>7</v>
      </c>
      <c r="AU94" s="67"/>
      <c r="AV94" s="62">
        <v>7</v>
      </c>
      <c r="AW94" s="63"/>
      <c r="AX94" s="66"/>
      <c r="AY94" s="67"/>
      <c r="AZ94" s="29">
        <v>0</v>
      </c>
      <c r="BA94" s="29"/>
      <c r="BB94" s="29">
        <v>0</v>
      </c>
      <c r="BC94" s="34"/>
    </row>
    <row r="95" spans="1:55" x14ac:dyDescent="0.3">
      <c r="B95" s="25"/>
      <c r="C95" s="35" t="s">
        <v>37</v>
      </c>
      <c r="D95" s="36">
        <f>SUM(AP95:BC95)</f>
        <v>0</v>
      </c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7"/>
      <c r="AD95" s="37"/>
      <c r="AE95" s="37"/>
      <c r="AF95" s="37"/>
      <c r="AG95" s="37"/>
      <c r="AH95" s="37"/>
      <c r="AI95" s="37"/>
      <c r="AJ95" s="37"/>
      <c r="AK95" s="37"/>
      <c r="AL95" s="37"/>
      <c r="AM95" s="37"/>
      <c r="AN95" s="37"/>
      <c r="AO95" s="37"/>
      <c r="AP95" s="38">
        <v>0</v>
      </c>
      <c r="AQ95" s="38"/>
      <c r="AR95" s="37">
        <v>0</v>
      </c>
      <c r="AS95" s="37"/>
      <c r="AT95" s="41">
        <v>0</v>
      </c>
      <c r="AU95" s="41"/>
      <c r="AV95" s="37">
        <v>0</v>
      </c>
      <c r="AW95" s="37"/>
      <c r="AX95" s="41">
        <v>0</v>
      </c>
      <c r="AY95" s="41"/>
      <c r="AZ95" s="39">
        <v>0</v>
      </c>
      <c r="BA95" s="39"/>
      <c r="BB95" s="39">
        <v>0</v>
      </c>
      <c r="BC95" s="40"/>
    </row>
    <row r="96" spans="1:55" x14ac:dyDescent="0.3">
      <c r="A96" s="19"/>
      <c r="B96" s="20"/>
      <c r="C96" s="21" t="s">
        <v>36</v>
      </c>
      <c r="D96" s="22">
        <f>SUM(D91:D92)</f>
        <v>35</v>
      </c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32"/>
      <c r="AP96" s="60" t="s">
        <v>46</v>
      </c>
      <c r="AQ96" s="61"/>
      <c r="AR96" s="60" t="s">
        <v>46</v>
      </c>
      <c r="AS96" s="61"/>
      <c r="AT96" s="60" t="s">
        <v>46</v>
      </c>
      <c r="AU96" s="61"/>
      <c r="AV96" s="60" t="s">
        <v>46</v>
      </c>
      <c r="AW96" s="61"/>
      <c r="AX96" s="70" t="s">
        <v>44</v>
      </c>
      <c r="AY96" s="72"/>
      <c r="AZ96" s="33"/>
      <c r="BA96" s="24"/>
      <c r="BB96" s="24"/>
      <c r="BC96" s="24"/>
    </row>
    <row r="97" spans="1:55" x14ac:dyDescent="0.3">
      <c r="A97" s="18" t="s">
        <v>82</v>
      </c>
    </row>
    <row r="98" spans="1:55" x14ac:dyDescent="0.3">
      <c r="A98" s="9" t="s">
        <v>52</v>
      </c>
      <c r="C98" s="6" t="s">
        <v>100</v>
      </c>
      <c r="D98" s="8">
        <f>SUM(E98:AO98)</f>
        <v>9</v>
      </c>
      <c r="S98" s="7">
        <v>9</v>
      </c>
    </row>
    <row r="99" spans="1:55" x14ac:dyDescent="0.3">
      <c r="A99" s="9" t="s">
        <v>54</v>
      </c>
      <c r="C99" s="6" t="s">
        <v>95</v>
      </c>
    </row>
    <row r="100" spans="1:55" x14ac:dyDescent="0.3">
      <c r="C100" s="6" t="s">
        <v>87</v>
      </c>
      <c r="D100" s="8">
        <f>SUM(E100:AO100)</f>
        <v>2.5</v>
      </c>
      <c r="E100" s="7">
        <v>0.5</v>
      </c>
      <c r="U100" s="7">
        <v>1</v>
      </c>
      <c r="W100" s="7">
        <v>1</v>
      </c>
    </row>
    <row r="101" spans="1:55" x14ac:dyDescent="0.3">
      <c r="C101" s="6" t="s">
        <v>107</v>
      </c>
      <c r="D101" s="8">
        <f>SUM(E101:AO101)</f>
        <v>4.5</v>
      </c>
      <c r="L101" s="7">
        <v>4.5</v>
      </c>
    </row>
    <row r="102" spans="1:55" x14ac:dyDescent="0.3">
      <c r="C102" s="6" t="s">
        <v>115</v>
      </c>
      <c r="D102" s="8">
        <f>SUM(E102:AO102)</f>
        <v>16</v>
      </c>
      <c r="L102" s="7">
        <v>16</v>
      </c>
    </row>
    <row r="103" spans="1:55" x14ac:dyDescent="0.3">
      <c r="C103" s="6" t="s">
        <v>35</v>
      </c>
      <c r="D103" s="8">
        <f>SUM(E103:AO103)</f>
        <v>5.5</v>
      </c>
      <c r="Z103" s="7">
        <v>5.5</v>
      </c>
    </row>
    <row r="104" spans="1:55" x14ac:dyDescent="0.3">
      <c r="B104" s="25"/>
      <c r="C104" s="26" t="s">
        <v>47</v>
      </c>
      <c r="D104" s="27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  <c r="AG104" s="28"/>
      <c r="AH104" s="28"/>
      <c r="AI104" s="28"/>
      <c r="AJ104" s="28"/>
      <c r="AK104" s="28"/>
      <c r="AL104" s="28"/>
      <c r="AM104" s="28"/>
      <c r="AN104" s="28"/>
      <c r="AO104" s="28"/>
      <c r="AP104" s="66">
        <v>7.5</v>
      </c>
      <c r="AQ104" s="67"/>
      <c r="AR104" s="62">
        <v>7.5</v>
      </c>
      <c r="AS104" s="63"/>
      <c r="AT104" s="66">
        <v>7.5</v>
      </c>
      <c r="AU104" s="67"/>
      <c r="AV104" s="62">
        <v>9.5</v>
      </c>
      <c r="AW104" s="63"/>
      <c r="AX104" s="66">
        <v>5.5</v>
      </c>
      <c r="AY104" s="67"/>
      <c r="AZ104" s="29">
        <v>0</v>
      </c>
      <c r="BA104" s="29"/>
      <c r="BB104" s="29">
        <v>0</v>
      </c>
      <c r="BC104" s="34"/>
    </row>
    <row r="105" spans="1:55" x14ac:dyDescent="0.3">
      <c r="A105" s="9" t="s">
        <v>49</v>
      </c>
      <c r="B105" s="25"/>
      <c r="C105" s="35" t="s">
        <v>37</v>
      </c>
      <c r="D105" s="36">
        <f>SUM(AP105:BC105)</f>
        <v>2.5</v>
      </c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  <c r="AD105" s="37"/>
      <c r="AE105" s="37"/>
      <c r="AF105" s="37"/>
      <c r="AG105" s="37"/>
      <c r="AH105" s="37"/>
      <c r="AI105" s="37"/>
      <c r="AJ105" s="37"/>
      <c r="AK105" s="37"/>
      <c r="AL105" s="37"/>
      <c r="AM105" s="37"/>
      <c r="AN105" s="37"/>
      <c r="AO105" s="37"/>
      <c r="AP105" s="38">
        <v>0</v>
      </c>
      <c r="AQ105" s="38"/>
      <c r="AR105" s="37">
        <v>0</v>
      </c>
      <c r="AS105" s="37"/>
      <c r="AT105" s="41">
        <v>0</v>
      </c>
      <c r="AU105" s="41"/>
      <c r="AV105" s="37">
        <v>2</v>
      </c>
      <c r="AW105" s="37"/>
      <c r="AX105" s="41">
        <v>0.5</v>
      </c>
      <c r="AY105" s="41"/>
      <c r="AZ105" s="39">
        <v>0</v>
      </c>
      <c r="BA105" s="39"/>
      <c r="BB105" s="39">
        <v>0</v>
      </c>
      <c r="BC105" s="40"/>
    </row>
    <row r="106" spans="1:55" x14ac:dyDescent="0.3">
      <c r="A106" s="19"/>
      <c r="B106" s="20"/>
      <c r="C106" s="21" t="s">
        <v>36</v>
      </c>
      <c r="D106" s="22">
        <f>SUM(D97:D103)</f>
        <v>37.5</v>
      </c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32"/>
      <c r="AP106" s="60" t="s">
        <v>46</v>
      </c>
      <c r="AQ106" s="61"/>
      <c r="AR106" s="60" t="s">
        <v>46</v>
      </c>
      <c r="AS106" s="61"/>
      <c r="AT106" s="60" t="s">
        <v>46</v>
      </c>
      <c r="AU106" s="61"/>
      <c r="AV106" s="60" t="s">
        <v>46</v>
      </c>
      <c r="AW106" s="61"/>
      <c r="AX106" s="60" t="s">
        <v>46</v>
      </c>
      <c r="AY106" s="68"/>
      <c r="AZ106" s="33"/>
      <c r="BA106" s="24"/>
      <c r="BB106" s="24"/>
      <c r="BC106" s="24"/>
    </row>
    <row r="107" spans="1:55" x14ac:dyDescent="0.3">
      <c r="A107" s="18" t="s">
        <v>69</v>
      </c>
    </row>
    <row r="108" spans="1:55" x14ac:dyDescent="0.3">
      <c r="A108" s="9" t="s">
        <v>52</v>
      </c>
      <c r="C108" s="6" t="s">
        <v>101</v>
      </c>
      <c r="D108" s="8">
        <f>SUM(E108:AO108)</f>
        <v>26.5</v>
      </c>
      <c r="S108" s="7">
        <v>26.5</v>
      </c>
    </row>
    <row r="109" spans="1:55" x14ac:dyDescent="0.3">
      <c r="A109" s="9" t="s">
        <v>55</v>
      </c>
      <c r="C109" s="6" t="s">
        <v>89</v>
      </c>
      <c r="D109" s="8">
        <f>SUM(E109:AO109)</f>
        <v>3</v>
      </c>
      <c r="S109" s="7">
        <v>3</v>
      </c>
    </row>
    <row r="110" spans="1:55" x14ac:dyDescent="0.3">
      <c r="C110" s="6" t="s">
        <v>87</v>
      </c>
      <c r="D110" s="8">
        <f>SUM(E110:AO110)</f>
        <v>1</v>
      </c>
      <c r="S110" s="7">
        <v>1</v>
      </c>
    </row>
    <row r="111" spans="1:55" x14ac:dyDescent="0.3">
      <c r="C111" s="6" t="s">
        <v>92</v>
      </c>
      <c r="D111" s="8">
        <f>SUM(E111:AO111)</f>
        <v>3</v>
      </c>
      <c r="J111" s="7">
        <v>1.5</v>
      </c>
      <c r="S111" s="7">
        <v>1.5</v>
      </c>
    </row>
    <row r="112" spans="1:55" x14ac:dyDescent="0.3">
      <c r="C112" s="6" t="s">
        <v>35</v>
      </c>
      <c r="D112" s="8">
        <f>SUM(E112:AO112)</f>
        <v>1.5</v>
      </c>
      <c r="J112" s="7">
        <v>1.5</v>
      </c>
    </row>
    <row r="113" spans="1:55" x14ac:dyDescent="0.3">
      <c r="B113" s="25"/>
      <c r="C113" s="26" t="s">
        <v>47</v>
      </c>
      <c r="D113" s="27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  <c r="AE113" s="28"/>
      <c r="AF113" s="28"/>
      <c r="AG113" s="28"/>
      <c r="AH113" s="28"/>
      <c r="AI113" s="28"/>
      <c r="AJ113" s="28"/>
      <c r="AK113" s="28"/>
      <c r="AL113" s="28"/>
      <c r="AM113" s="28"/>
      <c r="AN113" s="28"/>
      <c r="AO113" s="28"/>
      <c r="AP113" s="66">
        <v>7.5</v>
      </c>
      <c r="AQ113" s="67"/>
      <c r="AR113" s="62">
        <v>7.5</v>
      </c>
      <c r="AS113" s="63"/>
      <c r="AT113" s="66">
        <v>7.5</v>
      </c>
      <c r="AU113" s="67"/>
      <c r="AV113" s="62">
        <v>7.5</v>
      </c>
      <c r="AW113" s="63"/>
      <c r="AX113" s="66">
        <v>5</v>
      </c>
      <c r="AY113" s="67"/>
      <c r="AZ113" s="29">
        <v>0</v>
      </c>
      <c r="BA113" s="29"/>
      <c r="BB113" s="29">
        <v>0</v>
      </c>
      <c r="BC113" s="34"/>
    </row>
    <row r="114" spans="1:55" x14ac:dyDescent="0.3">
      <c r="B114" s="25"/>
      <c r="C114" s="35" t="s">
        <v>37</v>
      </c>
      <c r="D114" s="36">
        <f>SUM(AP114:BC114)</f>
        <v>0</v>
      </c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  <c r="AD114" s="37"/>
      <c r="AE114" s="37"/>
      <c r="AF114" s="37"/>
      <c r="AG114" s="37"/>
      <c r="AH114" s="37"/>
      <c r="AI114" s="37"/>
      <c r="AJ114" s="37"/>
      <c r="AK114" s="37"/>
      <c r="AL114" s="37"/>
      <c r="AM114" s="37"/>
      <c r="AN114" s="37"/>
      <c r="AO114" s="37"/>
      <c r="AP114" s="38">
        <v>0</v>
      </c>
      <c r="AQ114" s="38"/>
      <c r="AR114" s="37">
        <v>0</v>
      </c>
      <c r="AS114" s="37"/>
      <c r="AT114" s="41">
        <v>0</v>
      </c>
      <c r="AU114" s="41"/>
      <c r="AV114" s="37">
        <v>0</v>
      </c>
      <c r="AW114" s="37"/>
      <c r="AX114" s="41">
        <v>0</v>
      </c>
      <c r="AY114" s="41"/>
      <c r="AZ114" s="39">
        <v>0</v>
      </c>
      <c r="BA114" s="39"/>
      <c r="BB114" s="39">
        <v>0</v>
      </c>
      <c r="BC114" s="40"/>
    </row>
    <row r="115" spans="1:55" x14ac:dyDescent="0.3">
      <c r="A115" s="19"/>
      <c r="B115" s="20"/>
      <c r="C115" s="21" t="s">
        <v>36</v>
      </c>
      <c r="D115" s="22">
        <f>SUM(D107:D112)</f>
        <v>35</v>
      </c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32"/>
      <c r="AP115" s="60" t="s">
        <v>46</v>
      </c>
      <c r="AQ115" s="61"/>
      <c r="AR115" s="60" t="s">
        <v>46</v>
      </c>
      <c r="AS115" s="61"/>
      <c r="AT115" s="64" t="s">
        <v>45</v>
      </c>
      <c r="AU115" s="69"/>
      <c r="AV115" s="60" t="s">
        <v>46</v>
      </c>
      <c r="AW115" s="61"/>
      <c r="AX115" s="60" t="s">
        <v>46</v>
      </c>
      <c r="AY115" s="68"/>
      <c r="AZ115" s="33"/>
      <c r="BA115" s="24"/>
      <c r="BB115" s="24"/>
      <c r="BC115" s="24"/>
    </row>
    <row r="116" spans="1:55" x14ac:dyDescent="0.3">
      <c r="A116" s="18" t="s">
        <v>70</v>
      </c>
    </row>
    <row r="117" spans="1:55" x14ac:dyDescent="0.3">
      <c r="A117" s="9" t="s">
        <v>52</v>
      </c>
      <c r="C117" s="6" t="s">
        <v>100</v>
      </c>
      <c r="D117" s="8">
        <f>SUM(E117:AO117)</f>
        <v>7.5</v>
      </c>
      <c r="E117" s="7">
        <v>4</v>
      </c>
      <c r="I117" s="7">
        <v>3.5</v>
      </c>
    </row>
    <row r="118" spans="1:55" x14ac:dyDescent="0.3">
      <c r="A118" s="9" t="s">
        <v>54</v>
      </c>
      <c r="C118" s="6" t="s">
        <v>116</v>
      </c>
      <c r="D118" s="8">
        <f>SUM(E118:AO118)</f>
        <v>3</v>
      </c>
      <c r="J118" s="7">
        <v>3</v>
      </c>
    </row>
    <row r="119" spans="1:55" x14ac:dyDescent="0.3">
      <c r="C119" s="6" t="s">
        <v>108</v>
      </c>
      <c r="D119" s="8">
        <f>SUM(E119:AO119)</f>
        <v>4</v>
      </c>
      <c r="E119" s="7">
        <v>4</v>
      </c>
    </row>
    <row r="120" spans="1:55" x14ac:dyDescent="0.3">
      <c r="C120" s="6" t="s">
        <v>102</v>
      </c>
      <c r="D120" s="8">
        <f>SUM(E120:AO120)</f>
        <v>12.5</v>
      </c>
      <c r="I120" s="7">
        <v>12.5</v>
      </c>
    </row>
    <row r="121" spans="1:55" x14ac:dyDescent="0.3">
      <c r="C121" s="6" t="s">
        <v>35</v>
      </c>
      <c r="D121" s="8">
        <f>SUM(E121:AO121)</f>
        <v>8</v>
      </c>
      <c r="Z121" s="7">
        <v>8</v>
      </c>
    </row>
    <row r="122" spans="1:55" x14ac:dyDescent="0.3">
      <c r="B122" s="25"/>
      <c r="C122" s="26" t="s">
        <v>47</v>
      </c>
      <c r="D122" s="27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  <c r="AE122" s="28"/>
      <c r="AF122" s="28"/>
      <c r="AG122" s="28"/>
      <c r="AH122" s="28"/>
      <c r="AI122" s="28"/>
      <c r="AJ122" s="28"/>
      <c r="AK122" s="28"/>
      <c r="AL122" s="28"/>
      <c r="AM122" s="28"/>
      <c r="AN122" s="28"/>
      <c r="AO122" s="28"/>
      <c r="AP122" s="66">
        <v>7.5</v>
      </c>
      <c r="AQ122" s="67"/>
      <c r="AR122" s="62">
        <v>7.5</v>
      </c>
      <c r="AS122" s="63"/>
      <c r="AT122" s="66">
        <v>7.5</v>
      </c>
      <c r="AU122" s="67"/>
      <c r="AV122" s="62">
        <v>7.5</v>
      </c>
      <c r="AW122" s="63"/>
      <c r="AX122" s="66">
        <v>5</v>
      </c>
      <c r="AY122" s="67"/>
      <c r="AZ122" s="29">
        <v>0</v>
      </c>
      <c r="BA122" s="29"/>
      <c r="BB122" s="29">
        <v>0</v>
      </c>
      <c r="BC122" s="34"/>
    </row>
    <row r="123" spans="1:55" x14ac:dyDescent="0.3">
      <c r="B123" s="25"/>
      <c r="C123" s="35" t="s">
        <v>37</v>
      </c>
      <c r="D123" s="36">
        <f>SUM(AP123:BC123)</f>
        <v>0</v>
      </c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  <c r="AD123" s="37"/>
      <c r="AE123" s="37"/>
      <c r="AF123" s="37"/>
      <c r="AG123" s="37"/>
      <c r="AH123" s="37"/>
      <c r="AI123" s="37"/>
      <c r="AJ123" s="37"/>
      <c r="AK123" s="37"/>
      <c r="AL123" s="37"/>
      <c r="AM123" s="37"/>
      <c r="AN123" s="37"/>
      <c r="AO123" s="37"/>
      <c r="AP123" s="38">
        <v>0</v>
      </c>
      <c r="AQ123" s="38"/>
      <c r="AR123" s="37">
        <v>0</v>
      </c>
      <c r="AS123" s="37"/>
      <c r="AT123" s="41">
        <v>0</v>
      </c>
      <c r="AU123" s="41"/>
      <c r="AV123" s="37">
        <v>0</v>
      </c>
      <c r="AW123" s="37"/>
      <c r="AX123" s="41">
        <v>0</v>
      </c>
      <c r="AY123" s="41"/>
      <c r="AZ123" s="39">
        <v>0</v>
      </c>
      <c r="BA123" s="39"/>
      <c r="BB123" s="39">
        <v>0</v>
      </c>
      <c r="BC123" s="40"/>
    </row>
    <row r="124" spans="1:55" x14ac:dyDescent="0.3">
      <c r="A124" s="19"/>
      <c r="B124" s="20"/>
      <c r="C124" s="21" t="s">
        <v>36</v>
      </c>
      <c r="D124" s="22">
        <f>SUM(D116:D121)</f>
        <v>35</v>
      </c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32"/>
      <c r="AP124" s="60" t="s">
        <v>46</v>
      </c>
      <c r="AQ124" s="61"/>
      <c r="AR124" s="60" t="s">
        <v>46</v>
      </c>
      <c r="AS124" s="61"/>
      <c r="AT124" s="60" t="s">
        <v>46</v>
      </c>
      <c r="AU124" s="61"/>
      <c r="AV124" s="60" t="s">
        <v>46</v>
      </c>
      <c r="AW124" s="61"/>
      <c r="AX124" s="60" t="s">
        <v>46</v>
      </c>
      <c r="AY124" s="68"/>
      <c r="AZ124" s="33"/>
      <c r="BA124" s="24"/>
      <c r="BB124" s="24"/>
      <c r="BC124" s="24"/>
    </row>
    <row r="125" spans="1:55" x14ac:dyDescent="0.3">
      <c r="A125" s="18" t="s">
        <v>71</v>
      </c>
    </row>
    <row r="126" spans="1:55" x14ac:dyDescent="0.3">
      <c r="A126" s="9" t="s">
        <v>52</v>
      </c>
      <c r="C126" s="6" t="s">
        <v>85</v>
      </c>
      <c r="D126" s="8">
        <f>SUM(E126:AO126)</f>
        <v>39.5</v>
      </c>
      <c r="E126" s="7">
        <v>39.5</v>
      </c>
    </row>
    <row r="127" spans="1:55" x14ac:dyDescent="0.3">
      <c r="A127" s="9" t="s">
        <v>54</v>
      </c>
      <c r="C127" s="6" t="s">
        <v>35</v>
      </c>
    </row>
    <row r="128" spans="1:55" x14ac:dyDescent="0.3">
      <c r="B128" s="25"/>
      <c r="C128" s="26" t="s">
        <v>47</v>
      </c>
      <c r="D128" s="27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  <c r="AE128" s="28"/>
      <c r="AF128" s="28"/>
      <c r="AG128" s="28"/>
      <c r="AH128" s="28"/>
      <c r="AI128" s="28"/>
      <c r="AJ128" s="28"/>
      <c r="AK128" s="28"/>
      <c r="AL128" s="28"/>
      <c r="AM128" s="28"/>
      <c r="AN128" s="28"/>
      <c r="AO128" s="28"/>
      <c r="AP128" s="66">
        <v>8.5</v>
      </c>
      <c r="AQ128" s="67"/>
      <c r="AR128" s="62">
        <v>8.5</v>
      </c>
      <c r="AS128" s="63"/>
      <c r="AT128" s="66">
        <v>6.25</v>
      </c>
      <c r="AU128" s="67"/>
      <c r="AV128" s="62">
        <v>8.5</v>
      </c>
      <c r="AW128" s="63"/>
      <c r="AX128" s="66">
        <v>7.75</v>
      </c>
      <c r="AY128" s="67"/>
      <c r="AZ128" s="29">
        <v>0</v>
      </c>
      <c r="BA128" s="29"/>
      <c r="BB128" s="29">
        <v>0</v>
      </c>
      <c r="BC128" s="34"/>
    </row>
    <row r="129" spans="1:55" x14ac:dyDescent="0.3">
      <c r="B129" s="25"/>
      <c r="C129" s="35" t="s">
        <v>37</v>
      </c>
      <c r="D129" s="36">
        <f>SUM(AP129:BC129)</f>
        <v>4.5</v>
      </c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  <c r="AD129" s="37"/>
      <c r="AE129" s="37"/>
      <c r="AF129" s="37"/>
      <c r="AG129" s="37"/>
      <c r="AH129" s="37"/>
      <c r="AI129" s="37"/>
      <c r="AJ129" s="37"/>
      <c r="AK129" s="37"/>
      <c r="AL129" s="37"/>
      <c r="AM129" s="37"/>
      <c r="AN129" s="37"/>
      <c r="AO129" s="37"/>
      <c r="AP129" s="38">
        <v>0.75</v>
      </c>
      <c r="AQ129" s="38"/>
      <c r="AR129" s="37">
        <v>0.75</v>
      </c>
      <c r="AS129" s="37"/>
      <c r="AT129" s="41">
        <v>2.25</v>
      </c>
      <c r="AU129" s="41"/>
      <c r="AV129" s="37">
        <v>0.75</v>
      </c>
      <c r="AW129" s="37"/>
      <c r="AX129" s="41">
        <v>0</v>
      </c>
      <c r="AY129" s="41"/>
      <c r="AZ129" s="39">
        <v>0</v>
      </c>
      <c r="BA129" s="39"/>
      <c r="BB129" s="39">
        <v>0</v>
      </c>
      <c r="BC129" s="40"/>
    </row>
    <row r="130" spans="1:55" x14ac:dyDescent="0.3">
      <c r="A130" s="19"/>
      <c r="B130" s="20"/>
      <c r="C130" s="21" t="s">
        <v>36</v>
      </c>
      <c r="D130" s="22">
        <f>SUM(D125:D127)</f>
        <v>39.5</v>
      </c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32"/>
      <c r="AP130" s="60" t="s">
        <v>46</v>
      </c>
      <c r="AQ130" s="61"/>
      <c r="AR130" s="60" t="s">
        <v>46</v>
      </c>
      <c r="AS130" s="61"/>
      <c r="AT130" s="60" t="s">
        <v>46</v>
      </c>
      <c r="AU130" s="61"/>
      <c r="AV130" s="60" t="s">
        <v>46</v>
      </c>
      <c r="AW130" s="61"/>
      <c r="AX130" s="60" t="s">
        <v>46</v>
      </c>
      <c r="AY130" s="68"/>
      <c r="AZ130" s="33"/>
      <c r="BA130" s="24"/>
      <c r="BB130" s="24"/>
      <c r="BC130" s="24"/>
    </row>
    <row r="131" spans="1:55" x14ac:dyDescent="0.3">
      <c r="A131" s="18" t="s">
        <v>72</v>
      </c>
    </row>
    <row r="132" spans="1:55" x14ac:dyDescent="0.3">
      <c r="A132" s="9" t="s">
        <v>58</v>
      </c>
      <c r="C132" s="6" t="s">
        <v>91</v>
      </c>
    </row>
    <row r="133" spans="1:55" x14ac:dyDescent="0.3">
      <c r="A133" s="9" t="s">
        <v>54</v>
      </c>
      <c r="C133" s="6" t="s">
        <v>35</v>
      </c>
      <c r="D133" s="8">
        <f>SUM(E133:AO133)</f>
        <v>35</v>
      </c>
      <c r="AB133" s="7">
        <v>35</v>
      </c>
      <c r="AP133" s="15">
        <v>7.5</v>
      </c>
      <c r="AQ133" s="15" t="s">
        <v>16</v>
      </c>
      <c r="AR133" s="7">
        <v>7.5</v>
      </c>
      <c r="AS133" s="7" t="s">
        <v>16</v>
      </c>
      <c r="AT133" s="12">
        <v>7.5</v>
      </c>
      <c r="AU133" s="12" t="s">
        <v>16</v>
      </c>
      <c r="AV133" s="7">
        <v>7.5</v>
      </c>
      <c r="AW133" s="7" t="s">
        <v>16</v>
      </c>
      <c r="AX133" s="12">
        <v>5</v>
      </c>
      <c r="AY133" s="12" t="s">
        <v>16</v>
      </c>
    </row>
    <row r="134" spans="1:55" x14ac:dyDescent="0.3">
      <c r="B134" s="25"/>
      <c r="C134" s="26" t="s">
        <v>47</v>
      </c>
      <c r="D134" s="27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28"/>
      <c r="AE134" s="28"/>
      <c r="AF134" s="28"/>
      <c r="AG134" s="28"/>
      <c r="AH134" s="28"/>
      <c r="AI134" s="28"/>
      <c r="AJ134" s="28"/>
      <c r="AK134" s="28"/>
      <c r="AL134" s="28"/>
      <c r="AM134" s="28"/>
      <c r="AN134" s="28"/>
      <c r="AO134" s="28"/>
      <c r="AP134" s="66"/>
      <c r="AQ134" s="67"/>
      <c r="AR134" s="62"/>
      <c r="AS134" s="63"/>
      <c r="AT134" s="66"/>
      <c r="AU134" s="67"/>
      <c r="AV134" s="62"/>
      <c r="AW134" s="63"/>
      <c r="AX134" s="66"/>
      <c r="AY134" s="67"/>
      <c r="AZ134" s="29">
        <v>0</v>
      </c>
      <c r="BA134" s="29"/>
      <c r="BB134" s="29">
        <v>0</v>
      </c>
      <c r="BC134" s="34"/>
    </row>
    <row r="135" spans="1:55" x14ac:dyDescent="0.3">
      <c r="B135" s="25"/>
      <c r="C135" s="35" t="s">
        <v>37</v>
      </c>
      <c r="D135" s="36">
        <f>SUM(AP135:BC135)</f>
        <v>0</v>
      </c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  <c r="AC135" s="37"/>
      <c r="AD135" s="37"/>
      <c r="AE135" s="37"/>
      <c r="AF135" s="37"/>
      <c r="AG135" s="37"/>
      <c r="AH135" s="37"/>
      <c r="AI135" s="37"/>
      <c r="AJ135" s="37"/>
      <c r="AK135" s="37"/>
      <c r="AL135" s="37"/>
      <c r="AM135" s="37"/>
      <c r="AN135" s="37"/>
      <c r="AO135" s="37"/>
      <c r="AP135" s="38">
        <v>0</v>
      </c>
      <c r="AQ135" s="38"/>
      <c r="AR135" s="37">
        <v>0</v>
      </c>
      <c r="AS135" s="37"/>
      <c r="AT135" s="41">
        <v>0</v>
      </c>
      <c r="AU135" s="41"/>
      <c r="AV135" s="37">
        <v>0</v>
      </c>
      <c r="AW135" s="37"/>
      <c r="AX135" s="41">
        <v>0</v>
      </c>
      <c r="AY135" s="41"/>
      <c r="AZ135" s="39">
        <v>0</v>
      </c>
      <c r="BA135" s="39"/>
      <c r="BB135" s="39">
        <v>0</v>
      </c>
      <c r="BC135" s="40"/>
    </row>
    <row r="136" spans="1:55" x14ac:dyDescent="0.3">
      <c r="A136" s="19"/>
      <c r="B136" s="20"/>
      <c r="C136" s="21" t="s">
        <v>36</v>
      </c>
      <c r="D136" s="22">
        <f>SUM(D131:D133)</f>
        <v>35</v>
      </c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  <c r="AL136" s="23"/>
      <c r="AM136" s="23"/>
      <c r="AN136" s="23"/>
      <c r="AO136" s="32"/>
      <c r="AP136" s="70" t="s">
        <v>44</v>
      </c>
      <c r="AQ136" s="71"/>
      <c r="AR136" s="70" t="s">
        <v>44</v>
      </c>
      <c r="AS136" s="71"/>
      <c r="AT136" s="70" t="s">
        <v>44</v>
      </c>
      <c r="AU136" s="71"/>
      <c r="AV136" s="70" t="s">
        <v>44</v>
      </c>
      <c r="AW136" s="71"/>
      <c r="AX136" s="70" t="s">
        <v>44</v>
      </c>
      <c r="AY136" s="72"/>
      <c r="AZ136" s="33"/>
      <c r="BA136" s="24"/>
      <c r="BB136" s="24"/>
      <c r="BC136" s="24"/>
    </row>
    <row r="137" spans="1:55" x14ac:dyDescent="0.3">
      <c r="A137" s="18" t="s">
        <v>73</v>
      </c>
    </row>
    <row r="138" spans="1:55" x14ac:dyDescent="0.3">
      <c r="A138" s="9" t="s">
        <v>52</v>
      </c>
      <c r="C138" s="6" t="s">
        <v>100</v>
      </c>
      <c r="D138" s="8">
        <f t="shared" ref="D138:D149" si="0">SUM(E138:AO138)</f>
        <v>1.5</v>
      </c>
      <c r="N138" s="7">
        <v>1.5</v>
      </c>
    </row>
    <row r="139" spans="1:55" x14ac:dyDescent="0.3">
      <c r="A139" s="9" t="s">
        <v>54</v>
      </c>
      <c r="C139" s="6" t="s">
        <v>117</v>
      </c>
      <c r="D139" s="8">
        <f t="shared" si="0"/>
        <v>1.25</v>
      </c>
      <c r="N139" s="7">
        <v>1.25</v>
      </c>
    </row>
    <row r="140" spans="1:55" x14ac:dyDescent="0.3">
      <c r="C140" s="6" t="s">
        <v>102</v>
      </c>
      <c r="D140" s="8">
        <f t="shared" si="0"/>
        <v>7.75</v>
      </c>
      <c r="E140" s="7">
        <v>6.25</v>
      </c>
      <c r="J140" s="7">
        <v>1.5</v>
      </c>
    </row>
    <row r="141" spans="1:55" x14ac:dyDescent="0.3">
      <c r="C141" s="6" t="s">
        <v>112</v>
      </c>
      <c r="D141" s="8">
        <f t="shared" si="0"/>
        <v>2.5</v>
      </c>
      <c r="J141" s="7">
        <v>1.5</v>
      </c>
      <c r="K141" s="7">
        <v>1</v>
      </c>
    </row>
    <row r="142" spans="1:55" x14ac:dyDescent="0.3">
      <c r="C142" s="6" t="s">
        <v>115</v>
      </c>
      <c r="D142" s="8">
        <f t="shared" si="0"/>
        <v>0.25</v>
      </c>
      <c r="N142" s="7">
        <v>0.25</v>
      </c>
    </row>
    <row r="143" spans="1:55" x14ac:dyDescent="0.3">
      <c r="C143" s="6" t="s">
        <v>118</v>
      </c>
      <c r="D143" s="8">
        <f t="shared" si="0"/>
        <v>2</v>
      </c>
      <c r="N143" s="7">
        <v>2</v>
      </c>
    </row>
    <row r="144" spans="1:55" x14ac:dyDescent="0.3">
      <c r="C144" s="6" t="s">
        <v>111</v>
      </c>
      <c r="D144" s="8">
        <f t="shared" si="0"/>
        <v>1.25</v>
      </c>
      <c r="N144" s="7">
        <v>1.25</v>
      </c>
    </row>
    <row r="145" spans="1:55" x14ac:dyDescent="0.3">
      <c r="C145" s="6" t="s">
        <v>105</v>
      </c>
      <c r="D145" s="8">
        <f t="shared" si="0"/>
        <v>0.25</v>
      </c>
      <c r="N145" s="7">
        <v>0.25</v>
      </c>
    </row>
    <row r="146" spans="1:55" x14ac:dyDescent="0.3">
      <c r="C146" s="6" t="s">
        <v>90</v>
      </c>
      <c r="D146" s="8">
        <f t="shared" si="0"/>
        <v>0.5</v>
      </c>
      <c r="N146" s="7">
        <v>0.5</v>
      </c>
    </row>
    <row r="147" spans="1:55" x14ac:dyDescent="0.3">
      <c r="C147" s="6" t="s">
        <v>114</v>
      </c>
      <c r="D147" s="8">
        <f t="shared" si="0"/>
        <v>1</v>
      </c>
      <c r="K147" s="7">
        <v>1</v>
      </c>
    </row>
    <row r="148" spans="1:55" x14ac:dyDescent="0.3">
      <c r="C148" s="6" t="s">
        <v>113</v>
      </c>
      <c r="D148" s="8">
        <f t="shared" si="0"/>
        <v>0.5</v>
      </c>
      <c r="N148" s="7">
        <v>0.5</v>
      </c>
    </row>
    <row r="149" spans="1:55" x14ac:dyDescent="0.3">
      <c r="C149" s="6" t="s">
        <v>35</v>
      </c>
      <c r="D149" s="8">
        <f t="shared" si="0"/>
        <v>17.25</v>
      </c>
      <c r="J149" s="7">
        <v>1</v>
      </c>
      <c r="N149" s="7">
        <v>16.25</v>
      </c>
    </row>
    <row r="150" spans="1:55" x14ac:dyDescent="0.3">
      <c r="B150" s="25"/>
      <c r="C150" s="26" t="s">
        <v>47</v>
      </c>
      <c r="D150" s="27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  <c r="AD150" s="28"/>
      <c r="AE150" s="28"/>
      <c r="AF150" s="28"/>
      <c r="AG150" s="28"/>
      <c r="AH150" s="28"/>
      <c r="AI150" s="28"/>
      <c r="AJ150" s="28"/>
      <c r="AK150" s="28"/>
      <c r="AL150" s="28"/>
      <c r="AM150" s="28"/>
      <c r="AN150" s="28"/>
      <c r="AO150" s="28"/>
      <c r="AP150" s="66">
        <v>7.5</v>
      </c>
      <c r="AQ150" s="67"/>
      <c r="AR150" s="62">
        <v>7.5</v>
      </c>
      <c r="AS150" s="63"/>
      <c r="AT150" s="66">
        <v>7.5</v>
      </c>
      <c r="AU150" s="67"/>
      <c r="AV150" s="62">
        <v>7.5</v>
      </c>
      <c r="AW150" s="63"/>
      <c r="AX150" s="66">
        <v>6</v>
      </c>
      <c r="AY150" s="67"/>
      <c r="AZ150" s="29">
        <v>0</v>
      </c>
      <c r="BA150" s="29"/>
      <c r="BB150" s="29">
        <v>0</v>
      </c>
      <c r="BC150" s="34"/>
    </row>
    <row r="151" spans="1:55" x14ac:dyDescent="0.3">
      <c r="A151" s="9" t="s">
        <v>50</v>
      </c>
      <c r="B151" s="25"/>
      <c r="C151" s="35" t="s">
        <v>37</v>
      </c>
      <c r="D151" s="36">
        <f>SUM(AP151:BC151)</f>
        <v>1</v>
      </c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  <c r="AB151" s="37"/>
      <c r="AC151" s="37"/>
      <c r="AD151" s="37"/>
      <c r="AE151" s="37"/>
      <c r="AF151" s="37"/>
      <c r="AG151" s="37"/>
      <c r="AH151" s="37"/>
      <c r="AI151" s="37"/>
      <c r="AJ151" s="37"/>
      <c r="AK151" s="37"/>
      <c r="AL151" s="37"/>
      <c r="AM151" s="37"/>
      <c r="AN151" s="37"/>
      <c r="AO151" s="37"/>
      <c r="AP151" s="38">
        <v>0</v>
      </c>
      <c r="AQ151" s="38"/>
      <c r="AR151" s="37">
        <v>0</v>
      </c>
      <c r="AS151" s="37"/>
      <c r="AT151" s="41">
        <v>0</v>
      </c>
      <c r="AU151" s="41"/>
      <c r="AV151" s="37">
        <v>0</v>
      </c>
      <c r="AW151" s="37"/>
      <c r="AX151" s="41">
        <v>1</v>
      </c>
      <c r="AY151" s="41"/>
      <c r="AZ151" s="39">
        <v>0</v>
      </c>
      <c r="BA151" s="39"/>
      <c r="BB151" s="39">
        <v>0</v>
      </c>
      <c r="BC151" s="40"/>
    </row>
    <row r="152" spans="1:55" x14ac:dyDescent="0.3">
      <c r="A152" s="19"/>
      <c r="B152" s="20"/>
      <c r="C152" s="21" t="s">
        <v>36</v>
      </c>
      <c r="D152" s="22">
        <f>SUM(D137:D149)</f>
        <v>36</v>
      </c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  <c r="AI152" s="23"/>
      <c r="AJ152" s="23"/>
      <c r="AK152" s="23"/>
      <c r="AL152" s="23"/>
      <c r="AM152" s="23"/>
      <c r="AN152" s="23"/>
      <c r="AO152" s="32"/>
      <c r="AP152" s="60" t="s">
        <v>46</v>
      </c>
      <c r="AQ152" s="61"/>
      <c r="AR152" s="60" t="s">
        <v>46</v>
      </c>
      <c r="AS152" s="61"/>
      <c r="AT152" s="60" t="s">
        <v>46</v>
      </c>
      <c r="AU152" s="61"/>
      <c r="AV152" s="60" t="s">
        <v>46</v>
      </c>
      <c r="AW152" s="61"/>
      <c r="AX152" s="60" t="s">
        <v>46</v>
      </c>
      <c r="AY152" s="68"/>
      <c r="AZ152" s="33"/>
      <c r="BA152" s="24"/>
      <c r="BB152" s="24"/>
      <c r="BC152" s="24"/>
    </row>
  </sheetData>
  <dataConsolidate/>
  <mergeCells count="212">
    <mergeCell ref="AP136:AQ136"/>
    <mergeCell ref="AP134:AQ134"/>
    <mergeCell ref="AR136:AS136"/>
    <mergeCell ref="AR134:AS134"/>
    <mergeCell ref="AT136:AU136"/>
    <mergeCell ref="AT134:AU134"/>
    <mergeCell ref="AV152:AW152"/>
    <mergeCell ref="AV150:AW150"/>
    <mergeCell ref="AX152:AY152"/>
    <mergeCell ref="AX150:AY150"/>
    <mergeCell ref="AV136:AW136"/>
    <mergeCell ref="AV134:AW134"/>
    <mergeCell ref="AX136:AY136"/>
    <mergeCell ref="AX134:AY134"/>
    <mergeCell ref="AP152:AQ152"/>
    <mergeCell ref="AP150:AQ150"/>
    <mergeCell ref="AR152:AS152"/>
    <mergeCell ref="AR150:AS150"/>
    <mergeCell ref="AT152:AU152"/>
    <mergeCell ref="AT150:AU150"/>
    <mergeCell ref="AP130:AQ130"/>
    <mergeCell ref="AP128:AQ128"/>
    <mergeCell ref="AR130:AS130"/>
    <mergeCell ref="AR128:AS128"/>
    <mergeCell ref="AT130:AU130"/>
    <mergeCell ref="AT128:AU128"/>
    <mergeCell ref="AV130:AW130"/>
    <mergeCell ref="AV128:AW128"/>
    <mergeCell ref="AX130:AY130"/>
    <mergeCell ref="AX128:AY128"/>
    <mergeCell ref="AP124:AQ124"/>
    <mergeCell ref="AP122:AQ122"/>
    <mergeCell ref="AR124:AS124"/>
    <mergeCell ref="AR122:AS122"/>
    <mergeCell ref="AT124:AU124"/>
    <mergeCell ref="AT122:AU122"/>
    <mergeCell ref="AV124:AW124"/>
    <mergeCell ref="AV122:AW122"/>
    <mergeCell ref="AX124:AY124"/>
    <mergeCell ref="AX122:AY122"/>
    <mergeCell ref="AP115:AQ115"/>
    <mergeCell ref="AP113:AQ113"/>
    <mergeCell ref="AR115:AS115"/>
    <mergeCell ref="AR113:AS113"/>
    <mergeCell ref="AT115:AU115"/>
    <mergeCell ref="AT113:AU113"/>
    <mergeCell ref="AV115:AW115"/>
    <mergeCell ref="AV113:AW113"/>
    <mergeCell ref="AX115:AY115"/>
    <mergeCell ref="AX113:AY113"/>
    <mergeCell ref="AP106:AQ106"/>
    <mergeCell ref="AP104:AQ104"/>
    <mergeCell ref="AR106:AS106"/>
    <mergeCell ref="AR104:AS104"/>
    <mergeCell ref="AT106:AU106"/>
    <mergeCell ref="AT104:AU104"/>
    <mergeCell ref="AV106:AW106"/>
    <mergeCell ref="AV104:AW104"/>
    <mergeCell ref="AX106:AY106"/>
    <mergeCell ref="AX104:AY104"/>
    <mergeCell ref="AP96:AQ96"/>
    <mergeCell ref="AP94:AQ94"/>
    <mergeCell ref="AR96:AS96"/>
    <mergeCell ref="AR94:AS94"/>
    <mergeCell ref="AT96:AU96"/>
    <mergeCell ref="AT94:AU94"/>
    <mergeCell ref="AV96:AW96"/>
    <mergeCell ref="AV94:AW94"/>
    <mergeCell ref="AX96:AY96"/>
    <mergeCell ref="AX94:AY94"/>
    <mergeCell ref="AP90:AQ90"/>
    <mergeCell ref="AP88:AQ88"/>
    <mergeCell ref="AR90:AS90"/>
    <mergeCell ref="AR88:AS88"/>
    <mergeCell ref="AT90:AU90"/>
    <mergeCell ref="AT88:AU88"/>
    <mergeCell ref="AV90:AW90"/>
    <mergeCell ref="AV88:AW88"/>
    <mergeCell ref="AX90:AY90"/>
    <mergeCell ref="AX88:AY88"/>
    <mergeCell ref="AP84:AQ84"/>
    <mergeCell ref="AP82:AQ82"/>
    <mergeCell ref="AR84:AS84"/>
    <mergeCell ref="AR82:AS82"/>
    <mergeCell ref="AT84:AU84"/>
    <mergeCell ref="AT82:AU82"/>
    <mergeCell ref="AV84:AW84"/>
    <mergeCell ref="AV82:AW82"/>
    <mergeCell ref="AX84:AY84"/>
    <mergeCell ref="AX82:AY82"/>
    <mergeCell ref="AP74:AQ74"/>
    <mergeCell ref="AP72:AQ72"/>
    <mergeCell ref="AR74:AS74"/>
    <mergeCell ref="AR72:AS72"/>
    <mergeCell ref="AT74:AU74"/>
    <mergeCell ref="AT72:AU72"/>
    <mergeCell ref="AV74:AW74"/>
    <mergeCell ref="AV72:AW72"/>
    <mergeCell ref="AX74:AY74"/>
    <mergeCell ref="AX72:AY72"/>
    <mergeCell ref="AP68:AQ68"/>
    <mergeCell ref="AP66:AQ66"/>
    <mergeCell ref="AR68:AS68"/>
    <mergeCell ref="AR66:AS66"/>
    <mergeCell ref="AT68:AU68"/>
    <mergeCell ref="AT66:AU66"/>
    <mergeCell ref="AV68:AW68"/>
    <mergeCell ref="AV66:AW66"/>
    <mergeCell ref="AX68:AY68"/>
    <mergeCell ref="AX66:AY66"/>
    <mergeCell ref="AP62:AQ62"/>
    <mergeCell ref="AP60:AQ60"/>
    <mergeCell ref="AR62:AS62"/>
    <mergeCell ref="AR60:AS60"/>
    <mergeCell ref="AT62:AU62"/>
    <mergeCell ref="AT60:AU60"/>
    <mergeCell ref="AV62:AW62"/>
    <mergeCell ref="AV60:AW60"/>
    <mergeCell ref="AX62:AY62"/>
    <mergeCell ref="AX60:AY60"/>
    <mergeCell ref="AP56:AQ56"/>
    <mergeCell ref="AP54:AQ54"/>
    <mergeCell ref="AR56:AS56"/>
    <mergeCell ref="AR54:AS54"/>
    <mergeCell ref="AT56:AU56"/>
    <mergeCell ref="AT54:AU54"/>
    <mergeCell ref="AV56:AW56"/>
    <mergeCell ref="AV54:AW54"/>
    <mergeCell ref="AX56:AY56"/>
    <mergeCell ref="AX54:AY54"/>
    <mergeCell ref="AP50:AQ50"/>
    <mergeCell ref="AP48:AQ48"/>
    <mergeCell ref="AR50:AS50"/>
    <mergeCell ref="AR48:AS48"/>
    <mergeCell ref="AT50:AU50"/>
    <mergeCell ref="AT48:AU48"/>
    <mergeCell ref="AV50:AW50"/>
    <mergeCell ref="AV48:AW48"/>
    <mergeCell ref="AX50:AY50"/>
    <mergeCell ref="AX48:AY48"/>
    <mergeCell ref="AP43:AQ43"/>
    <mergeCell ref="AP41:AQ41"/>
    <mergeCell ref="AR43:AS43"/>
    <mergeCell ref="AR41:AS41"/>
    <mergeCell ref="AT43:AU43"/>
    <mergeCell ref="AT41:AU41"/>
    <mergeCell ref="AV43:AW43"/>
    <mergeCell ref="AV41:AW41"/>
    <mergeCell ref="AX43:AY43"/>
    <mergeCell ref="AX41:AY41"/>
    <mergeCell ref="AP37:AQ37"/>
    <mergeCell ref="AP35:AQ35"/>
    <mergeCell ref="AR37:AS37"/>
    <mergeCell ref="AR35:AS35"/>
    <mergeCell ref="AT37:AU37"/>
    <mergeCell ref="AT35:AU35"/>
    <mergeCell ref="AV37:AW37"/>
    <mergeCell ref="AV35:AW35"/>
    <mergeCell ref="AX37:AY37"/>
    <mergeCell ref="AX35:AY35"/>
    <mergeCell ref="AP31:AQ31"/>
    <mergeCell ref="AP29:AQ29"/>
    <mergeCell ref="AR31:AS31"/>
    <mergeCell ref="AR29:AS29"/>
    <mergeCell ref="AT31:AU31"/>
    <mergeCell ref="AT29:AU29"/>
    <mergeCell ref="AV31:AW31"/>
    <mergeCell ref="AV29:AW29"/>
    <mergeCell ref="AX31:AY31"/>
    <mergeCell ref="AX29:AY29"/>
    <mergeCell ref="AP25:AQ25"/>
    <mergeCell ref="AP23:AQ23"/>
    <mergeCell ref="AR25:AS25"/>
    <mergeCell ref="AR23:AS23"/>
    <mergeCell ref="AT25:AU25"/>
    <mergeCell ref="AT23:AU23"/>
    <mergeCell ref="AV25:AW25"/>
    <mergeCell ref="AV23:AW23"/>
    <mergeCell ref="AX25:AY25"/>
    <mergeCell ref="AX23:AY23"/>
    <mergeCell ref="AV10:AW10"/>
    <mergeCell ref="AV8:AW8"/>
    <mergeCell ref="AX10:AY10"/>
    <mergeCell ref="AX8:AY8"/>
    <mergeCell ref="AP19:AQ19"/>
    <mergeCell ref="AP17:AQ17"/>
    <mergeCell ref="AR19:AS19"/>
    <mergeCell ref="AR17:AS17"/>
    <mergeCell ref="AT19:AU19"/>
    <mergeCell ref="AT17:AU17"/>
    <mergeCell ref="AP10:AQ10"/>
    <mergeCell ref="AP8:AQ8"/>
    <mergeCell ref="AR10:AS10"/>
    <mergeCell ref="AR8:AS8"/>
    <mergeCell ref="AT10:AU10"/>
    <mergeCell ref="AT8:AU8"/>
    <mergeCell ref="AV19:AW19"/>
    <mergeCell ref="AV17:AW17"/>
    <mergeCell ref="AX19:AY19"/>
    <mergeCell ref="AX17:AY17"/>
    <mergeCell ref="AR1:AS1"/>
    <mergeCell ref="AT1:AU1"/>
    <mergeCell ref="AV1:AW1"/>
    <mergeCell ref="AX1:AY1"/>
    <mergeCell ref="AZ1:BA1"/>
    <mergeCell ref="BB1:BC1"/>
    <mergeCell ref="A1:A2"/>
    <mergeCell ref="C1:C2"/>
    <mergeCell ref="D1:D2"/>
    <mergeCell ref="E1:Y1"/>
    <mergeCell ref="Z1:AO1"/>
    <mergeCell ref="AP1:AQ1"/>
  </mergeCells>
  <conditionalFormatting sqref="D10">
    <cfRule type="cellIs" dxfId="59" priority="59" operator="equal">
      <formula>35</formula>
    </cfRule>
    <cfRule type="cellIs" dxfId="58" priority="58" operator="lessThan">
      <formula>35</formula>
    </cfRule>
    <cfRule type="cellIs" dxfId="57" priority="60" operator="greaterThan">
      <formula>35</formula>
    </cfRule>
  </conditionalFormatting>
  <conditionalFormatting sqref="D19">
    <cfRule type="cellIs" dxfId="56" priority="57" operator="greaterThan">
      <formula>35</formula>
    </cfRule>
    <cfRule type="cellIs" dxfId="55" priority="56" operator="equal">
      <formula>35</formula>
    </cfRule>
    <cfRule type="cellIs" dxfId="54" priority="55" operator="lessThan">
      <formula>35</formula>
    </cfRule>
  </conditionalFormatting>
  <conditionalFormatting sqref="D25">
    <cfRule type="cellIs" dxfId="53" priority="53" operator="equal">
      <formula>35</formula>
    </cfRule>
    <cfRule type="cellIs" dxfId="52" priority="54" operator="greaterThan">
      <formula>35</formula>
    </cfRule>
    <cfRule type="cellIs" dxfId="51" priority="52" operator="lessThan">
      <formula>35</formula>
    </cfRule>
  </conditionalFormatting>
  <conditionalFormatting sqref="D31">
    <cfRule type="cellIs" dxfId="50" priority="51" operator="greaterThan">
      <formula>0</formula>
    </cfRule>
    <cfRule type="cellIs" dxfId="49" priority="50" operator="equal">
      <formula>0</formula>
    </cfRule>
    <cfRule type="cellIs" dxfId="48" priority="49" operator="lessThan">
      <formula>0</formula>
    </cfRule>
  </conditionalFormatting>
  <conditionalFormatting sqref="D37">
    <cfRule type="cellIs" dxfId="47" priority="46" operator="lessThan">
      <formula>35</formula>
    </cfRule>
    <cfRule type="cellIs" dxfId="46" priority="48" operator="greaterThan">
      <formula>35</formula>
    </cfRule>
    <cfRule type="cellIs" dxfId="45" priority="47" operator="equal">
      <formula>35</formula>
    </cfRule>
  </conditionalFormatting>
  <conditionalFormatting sqref="D43">
    <cfRule type="cellIs" dxfId="44" priority="45" operator="greaterThan">
      <formula>35</formula>
    </cfRule>
    <cfRule type="cellIs" dxfId="43" priority="44" operator="equal">
      <formula>35</formula>
    </cfRule>
    <cfRule type="cellIs" dxfId="42" priority="43" operator="lessThan">
      <formula>35</formula>
    </cfRule>
  </conditionalFormatting>
  <conditionalFormatting sqref="D50">
    <cfRule type="cellIs" dxfId="41" priority="42" operator="greaterThan">
      <formula>35</formula>
    </cfRule>
    <cfRule type="cellIs" dxfId="40" priority="41" operator="equal">
      <formula>35</formula>
    </cfRule>
    <cfRule type="cellIs" dxfId="39" priority="40" operator="lessThan">
      <formula>35</formula>
    </cfRule>
  </conditionalFormatting>
  <conditionalFormatting sqref="D56">
    <cfRule type="cellIs" dxfId="38" priority="38" operator="equal">
      <formula>35</formula>
    </cfRule>
    <cfRule type="cellIs" dxfId="37" priority="39" operator="greaterThan">
      <formula>35</formula>
    </cfRule>
    <cfRule type="cellIs" dxfId="36" priority="37" operator="lessThan">
      <formula>35</formula>
    </cfRule>
  </conditionalFormatting>
  <conditionalFormatting sqref="D62">
    <cfRule type="cellIs" dxfId="35" priority="36" operator="greaterThan">
      <formula>35</formula>
    </cfRule>
    <cfRule type="cellIs" dxfId="34" priority="35" operator="equal">
      <formula>35</formula>
    </cfRule>
    <cfRule type="cellIs" dxfId="33" priority="34" operator="lessThan">
      <formula>35</formula>
    </cfRule>
  </conditionalFormatting>
  <conditionalFormatting sqref="D68">
    <cfRule type="cellIs" dxfId="32" priority="31" operator="lessThan">
      <formula>35</formula>
    </cfRule>
    <cfRule type="cellIs" dxfId="31" priority="32" operator="equal">
      <formula>35</formula>
    </cfRule>
    <cfRule type="cellIs" dxfId="30" priority="33" operator="greaterThan">
      <formula>35</formula>
    </cfRule>
  </conditionalFormatting>
  <conditionalFormatting sqref="D74">
    <cfRule type="cellIs" dxfId="29" priority="30" operator="greaterThan">
      <formula>35</formula>
    </cfRule>
    <cfRule type="cellIs" dxfId="28" priority="29" operator="equal">
      <formula>35</formula>
    </cfRule>
    <cfRule type="cellIs" dxfId="27" priority="28" operator="lessThan">
      <formula>35</formula>
    </cfRule>
  </conditionalFormatting>
  <conditionalFormatting sqref="D84">
    <cfRule type="cellIs" dxfId="26" priority="27" operator="greaterThan">
      <formula>35</formula>
    </cfRule>
    <cfRule type="cellIs" dxfId="25" priority="26" operator="equal">
      <formula>35</formula>
    </cfRule>
    <cfRule type="cellIs" dxfId="24" priority="25" operator="lessThan">
      <formula>35</formula>
    </cfRule>
  </conditionalFormatting>
  <conditionalFormatting sqref="D90">
    <cfRule type="cellIs" dxfId="23" priority="24" operator="greaterThan">
      <formula>35</formula>
    </cfRule>
    <cfRule type="cellIs" dxfId="22" priority="23" operator="equal">
      <formula>35</formula>
    </cfRule>
    <cfRule type="cellIs" dxfId="21" priority="22" operator="lessThan">
      <formula>35</formula>
    </cfRule>
  </conditionalFormatting>
  <conditionalFormatting sqref="D96">
    <cfRule type="cellIs" dxfId="20" priority="21" operator="greaterThan">
      <formula>35</formula>
    </cfRule>
    <cfRule type="cellIs" dxfId="19" priority="20" operator="equal">
      <formula>35</formula>
    </cfRule>
    <cfRule type="cellIs" dxfId="18" priority="19" operator="lessThan">
      <formula>35</formula>
    </cfRule>
  </conditionalFormatting>
  <conditionalFormatting sqref="D106">
    <cfRule type="cellIs" dxfId="17" priority="18" operator="greaterThan">
      <formula>35</formula>
    </cfRule>
    <cfRule type="cellIs" dxfId="16" priority="17" operator="equal">
      <formula>35</formula>
    </cfRule>
    <cfRule type="cellIs" dxfId="15" priority="16" operator="lessThan">
      <formula>35</formula>
    </cfRule>
  </conditionalFormatting>
  <conditionalFormatting sqref="D115">
    <cfRule type="cellIs" dxfId="14" priority="15" operator="greaterThan">
      <formula>35</formula>
    </cfRule>
    <cfRule type="cellIs" dxfId="13" priority="14" operator="equal">
      <formula>35</formula>
    </cfRule>
    <cfRule type="cellIs" dxfId="12" priority="13" operator="lessThan">
      <formula>35</formula>
    </cfRule>
  </conditionalFormatting>
  <conditionalFormatting sqref="D124">
    <cfRule type="cellIs" dxfId="11" priority="12" operator="greaterThan">
      <formula>35</formula>
    </cfRule>
    <cfRule type="cellIs" dxfId="10" priority="11" operator="equal">
      <formula>35</formula>
    </cfRule>
    <cfRule type="cellIs" dxfId="9" priority="10" operator="lessThan">
      <formula>35</formula>
    </cfRule>
  </conditionalFormatting>
  <conditionalFormatting sqref="D130">
    <cfRule type="cellIs" dxfId="8" priority="8" operator="equal">
      <formula>0</formula>
    </cfRule>
    <cfRule type="cellIs" dxfId="7" priority="9" operator="greaterThan">
      <formula>0</formula>
    </cfRule>
    <cfRule type="cellIs" dxfId="6" priority="7" operator="lessThan">
      <formula>0</formula>
    </cfRule>
  </conditionalFormatting>
  <conditionalFormatting sqref="D136">
    <cfRule type="cellIs" dxfId="5" priority="6" operator="greaterThan">
      <formula>35</formula>
    </cfRule>
    <cfRule type="cellIs" dxfId="4" priority="5" operator="equal">
      <formula>35</formula>
    </cfRule>
    <cfRule type="cellIs" dxfId="3" priority="4" operator="lessThan">
      <formula>35</formula>
    </cfRule>
  </conditionalFormatting>
  <conditionalFormatting sqref="D152">
    <cfRule type="cellIs" dxfId="2" priority="2" operator="equal">
      <formula>35</formula>
    </cfRule>
    <cfRule type="cellIs" dxfId="1" priority="3" operator="greaterThan">
      <formula>35</formula>
    </cfRule>
    <cfRule type="cellIs" dxfId="0" priority="1" operator="lessThan">
      <formula>35</formula>
    </cfRule>
  </conditionalFormatting>
  <hyperlinks>
    <hyperlink ref="A3" r:id="rId1" display="\\POLY-AD\Partages\Polynov\Administratif BE\Feuille d'heures\heures BERNARD Bastien\heures BBE 2026\feuille heures BBE S39 - 2026.xlsx" xr:uid="{D01688F3-01CF-40F2-BF19-50E6AC0C25AC}"/>
    <hyperlink ref="A11" r:id="rId2" display="\\POLY-AD\Partages\Polynov\Administratif BE\Feuille d'heures\heures BLINEAU Clément\heures CBL 2026\feuille heures CBL S39 - 2026.xlsx" xr:uid="{709923DD-6780-4482-851E-146987493EAD}"/>
    <hyperlink ref="A20" r:id="rId3" display="\\POLY-AD\Partages\Polynov\Administratif BE\Feuille d'heures\heures CADELL Eddie\heures ECA 2026\feuille heures ECA S39 - 2026.xlsx" xr:uid="{E5F3AFBB-27DD-4D6F-AC34-3438BD94F7F7}"/>
    <hyperlink ref="A26" r:id="rId4" display="\\POLY-AD\Partages\Polynov\Administratif BE\Feuille d'heures\heures COLLOT Maxence\heures MCO 2026\feuille heures MCO S39 - 2026.xlsx" xr:uid="{6B0943D4-E57A-400F-998B-91012C19FD28}"/>
    <hyperlink ref="A32" r:id="rId5" display="\\POLY-AD\Partages\Polynov\Administratif BE\Feuille d'heures\heures COMBE Eric\heures ECO 2026\feuille heures ECO S39 - 2026.xlsx" xr:uid="{46C38EEC-9592-4CE5-9DE4-D401591BEDDD}"/>
    <hyperlink ref="A38" r:id="rId6" display="\\POLY-AD\Partages\Polynov\Administratif BE\Feuille d'heures\heures DE FREITAS Thomas\heures TDF 2026\feuille heures TDF S39 - 2026.xlsx" xr:uid="{582D976B-26B1-4907-8960-402BC9449C2E}"/>
    <hyperlink ref="A44" r:id="rId7" display="\\POLY-AD\Partages\Polynov\Administratif BE\Feuille d'heures\heures DELCROS Frédéric\heures FDE 2026\feuille heures FDE S39 - 2026.xlsx" xr:uid="{4B65AEFD-2490-4A7E-9B30-D16F472DCFDC}"/>
    <hyperlink ref="A51" r:id="rId8" display="\\POLY-AD\Partages\Polynov\Administratif BE\Feuille d'heures\heures FERNANDES Daniel\heures DFE 2026\feuille heures DFE S39 - 2026.xlsx" xr:uid="{FCFA7511-1BCD-47C5-A271-58334652B295}"/>
    <hyperlink ref="A57" r:id="rId9" display="\\POLY-AD\Partages\Polynov\Administratif BE\Feuille d'heures\heures GAUFIER Pierre-Laurent\heures PLG 2026\feuille heures PLG S39 - 2026.xlsx" xr:uid="{B2BC0EF9-B670-4B4E-A8DF-B99B8B06CD2A}"/>
    <hyperlink ref="A63" r:id="rId10" display="\\POLY-AD\Partages\Polynov\Administratif BE\Feuille d'heures\heures HERDT Pascal\heures PHE 2026\feuille heures PHE S39 - 2026.xlsx" xr:uid="{1FCF47D8-5C4B-4266-8303-641B7650F31E}"/>
    <hyperlink ref="A69" r:id="rId11" display="\\POLY-AD\Partages\Polynov\Administratif BE\Feuille d'heures\heures IDELON Kévin\heures KID 2026\feuille heures KID S39 - 2026.xlsx" xr:uid="{20E8FC64-1812-4CA4-BC26-3DA1D93E13A5}"/>
    <hyperlink ref="A75" r:id="rId12" display="\\POLY-AD\Partages\Polynov\Administratif BE\Feuille d'heures\heures LAJUS Anthony\heures ALA 2026\feuille heures ALA S39 - 2026.xlsx" xr:uid="{5EFD19A8-9B24-4FA8-9794-171191A50B2C}"/>
    <hyperlink ref="A85" r:id="rId13" display="\\POLY-AD\Partages\Polynov\Administratif BE\Feuille d'heures\heures LECLERCQ Dimitri\heures DLE 2026\feuille heures DLE S39 - 2026.xlsx" xr:uid="{0E77D987-5DD6-4258-9687-D188AB5C4170}"/>
    <hyperlink ref="A91" r:id="rId14" display="\\POLY-AD\Partages\Polynov\Administratif BE\Feuille d'heures\heures MAUBERT Amélie\heures AMA 2026\feuille heures AMA S39 - 2026.xlsx" xr:uid="{5152A4C8-3785-43B3-BC92-17A77B4E498E}"/>
    <hyperlink ref="A97" r:id="rId15" display="\\POLY-AD\Partages\Polynov\Administratif BE\Feuille d'heures\heures MAZIER Antoine\heures AMZ 2026\feuille heures AMZ S39 - 2026.xlsx" xr:uid="{062B79F3-253B-40B6-A2C2-4F357BA5AB91}"/>
    <hyperlink ref="A107" r:id="rId16" display="\\POLY-AD\Partages\Polynov\Administratif BE\Feuille d'heures\heures MONTBRIZON Mathieu\heures MMO 2026\feuille heures MMO S39 - 2026.xlsx" xr:uid="{CD8FACEB-E575-46C3-8F18-66CE435203A8}"/>
    <hyperlink ref="A116" r:id="rId17" display="\\POLY-AD\Partages\Polynov\Administratif BE\Feuille d'heures\heures PISSAVIN Kévin\heures KPI 2026\feuille heures KPI S39 - 2026.xlsx" xr:uid="{045A72D9-A91F-4DC3-912A-5C84851FD45F}"/>
    <hyperlink ref="A125" r:id="rId18" display="\\POLY-AD\Partages\Polynov\Administratif BE\Feuille d'heures\heures RAYMOND Nicolas\heures NRA 2026\feuille heures NRA S39 - 2026.xlsx" xr:uid="{58D6C369-A8C2-4306-9779-742781BBB3B7}"/>
    <hyperlink ref="A131" r:id="rId19" display="\\POLY-AD\Partages\Polynov\Administratif BE\Feuille d'heures\heures VALENTIN Thierry\heures TVA 2026\feuille heures TVA S39 - 2026.xlsx" xr:uid="{4480E3D9-A184-4498-AB6F-115C52E80F11}"/>
    <hyperlink ref="A137" r:id="rId20" display="\\POLY-AD\Partages\Polynov\Administratif BE\Feuille d'heures\heures VILLENEUVE Fabien\heures FVI 2026\feuille heures FVI S39 - 2026.xlsx" xr:uid="{8A4ECC4B-A1F7-4AAA-9953-5ED133040A4B}"/>
  </hyperlinks>
  <pageMargins left="0.7" right="0.7" top="0.75" bottom="0.75" header="0.3" footer="0.3"/>
  <pageSetup paperSize="9" orientation="portrait" r:id="rId21"/>
  <legacyDrawing r:id="rId2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Gabarit</vt:lpstr>
      <vt:lpstr>S39-2026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Pierre-Laurent</dc:creator>
  <cp:lastModifiedBy>Pierre-Laurent GAUFIER</cp:lastModifiedBy>
  <cp:lastPrinted>2020-04-10T12:24:54Z</cp:lastPrinted>
  <dcterms:created xsi:type="dcterms:W3CDTF">2018-12-12T14:05:12Z</dcterms:created>
  <dcterms:modified xsi:type="dcterms:W3CDTF">2026-09-30T19:36:09Z</dcterms:modified>
</cp:coreProperties>
</file>