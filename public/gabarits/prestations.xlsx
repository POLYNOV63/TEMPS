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ul\Desktop\"/>
    </mc:Choice>
  </mc:AlternateContent>
  <xr:revisionPtr revIDLastSave="0" documentId="13_ncr:1_{2ED94FA6-ABAC-4A64-8935-BE767E069F97}" xr6:coauthVersionLast="47" xr6:coauthVersionMax="47" xr10:uidLastSave="{00000000-0000-0000-0000-000000000000}"/>
  <bookViews>
    <workbookView xWindow="28680" yWindow="-120" windowWidth="29040" windowHeight="15720" xr2:uid="{90BEA4DD-7D93-4B5B-9B44-6D51E0DF5619}"/>
  </bookViews>
  <sheets>
    <sheet name="Juin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L16" i="1"/>
  <c r="L17" i="1"/>
  <c r="L18" i="1"/>
  <c r="L19" i="1"/>
  <c r="L20" i="1"/>
  <c r="L21" i="1"/>
  <c r="L135" i="1"/>
  <c r="I135" i="1"/>
  <c r="J135" i="1" s="1"/>
  <c r="F135" i="1"/>
  <c r="E135" i="1"/>
  <c r="L134" i="1"/>
  <c r="I134" i="1"/>
  <c r="F134" i="1"/>
  <c r="E134" i="1"/>
  <c r="O133" i="1"/>
  <c r="N133" i="1"/>
  <c r="M133" i="1"/>
  <c r="L133" i="1"/>
  <c r="I133" i="1"/>
  <c r="L132" i="1"/>
  <c r="I132" i="1"/>
  <c r="F132" i="1"/>
  <c r="E132" i="1"/>
  <c r="L131" i="1"/>
  <c r="I131" i="1"/>
  <c r="F131" i="1"/>
  <c r="E131" i="1"/>
  <c r="L130" i="1"/>
  <c r="I130" i="1"/>
  <c r="F130" i="1"/>
  <c r="E130" i="1"/>
  <c r="L129" i="1"/>
  <c r="I129" i="1"/>
  <c r="F129" i="1"/>
  <c r="E129" i="1"/>
  <c r="L128" i="1"/>
  <c r="I128" i="1"/>
  <c r="F128" i="1"/>
  <c r="E128" i="1"/>
  <c r="L127" i="1"/>
  <c r="I127" i="1"/>
  <c r="F127" i="1"/>
  <c r="E127" i="1"/>
  <c r="L126" i="1"/>
  <c r="I126" i="1"/>
  <c r="F126" i="1"/>
  <c r="E126" i="1"/>
  <c r="L125" i="1"/>
  <c r="I125" i="1"/>
  <c r="E125" i="1"/>
  <c r="I123" i="1"/>
  <c r="J123" i="1" s="1"/>
  <c r="AW123" i="1" s="1"/>
  <c r="G123" i="1"/>
  <c r="L123" i="1" s="1"/>
  <c r="E123" i="1"/>
  <c r="I122" i="1"/>
  <c r="J122" i="1" s="1"/>
  <c r="AW122" i="1" s="1"/>
  <c r="G122" i="1"/>
  <c r="L122" i="1" s="1"/>
  <c r="E122" i="1"/>
  <c r="O121" i="1"/>
  <c r="N121" i="1"/>
  <c r="M121" i="1"/>
  <c r="I121" i="1"/>
  <c r="J121" i="1" s="1"/>
  <c r="AW121" i="1" s="1"/>
  <c r="G121" i="1"/>
  <c r="L121" i="1" s="1"/>
  <c r="E121" i="1"/>
  <c r="I120" i="1"/>
  <c r="J120" i="1" s="1"/>
  <c r="AW120" i="1" s="1"/>
  <c r="G120" i="1"/>
  <c r="L120" i="1" s="1"/>
  <c r="E120" i="1"/>
  <c r="I119" i="1"/>
  <c r="J119" i="1" s="1"/>
  <c r="AW119" i="1" s="1"/>
  <c r="G119" i="1"/>
  <c r="L119" i="1" s="1"/>
  <c r="E119" i="1"/>
  <c r="I118" i="1"/>
  <c r="J118" i="1" s="1"/>
  <c r="AW118" i="1" s="1"/>
  <c r="G118" i="1"/>
  <c r="L118" i="1" s="1"/>
  <c r="E118" i="1"/>
  <c r="I117" i="1"/>
  <c r="J117" i="1" s="1"/>
  <c r="AW117" i="1" s="1"/>
  <c r="G117" i="1"/>
  <c r="L117" i="1" s="1"/>
  <c r="E117" i="1"/>
  <c r="I116" i="1"/>
  <c r="J116" i="1" s="1"/>
  <c r="AW116" i="1" s="1"/>
  <c r="G116" i="1"/>
  <c r="L116" i="1" s="1"/>
  <c r="E116" i="1"/>
  <c r="I115" i="1"/>
  <c r="J115" i="1" s="1"/>
  <c r="AW115" i="1" s="1"/>
  <c r="G115" i="1"/>
  <c r="L115" i="1" s="1"/>
  <c r="E115" i="1"/>
  <c r="I114" i="1"/>
  <c r="J114" i="1" s="1"/>
  <c r="AW114" i="1" s="1"/>
  <c r="G114" i="1"/>
  <c r="L114" i="1" s="1"/>
  <c r="E114" i="1"/>
  <c r="I113" i="1"/>
  <c r="G113" i="1"/>
  <c r="L113" i="1" s="1"/>
  <c r="E113" i="1"/>
  <c r="O105" i="1"/>
  <c r="N105" i="1"/>
  <c r="M105" i="1"/>
  <c r="L105" i="1"/>
  <c r="I105" i="1"/>
  <c r="O104" i="1"/>
  <c r="N104" i="1"/>
  <c r="M104" i="1"/>
  <c r="L104" i="1"/>
  <c r="I104" i="1"/>
  <c r="O103" i="1"/>
  <c r="N103" i="1"/>
  <c r="M103" i="1"/>
  <c r="L103" i="1"/>
  <c r="I103" i="1"/>
  <c r="O102" i="1"/>
  <c r="N102" i="1"/>
  <c r="M102" i="1"/>
  <c r="L102" i="1"/>
  <c r="I102" i="1"/>
  <c r="O101" i="1"/>
  <c r="N101" i="1"/>
  <c r="M101" i="1"/>
  <c r="L101" i="1"/>
  <c r="I101" i="1"/>
  <c r="AW100" i="1"/>
  <c r="O100" i="1"/>
  <c r="N100" i="1"/>
  <c r="M100" i="1"/>
  <c r="L100" i="1"/>
  <c r="I100" i="1"/>
  <c r="J100" i="1" s="1"/>
  <c r="O99" i="1"/>
  <c r="N99" i="1"/>
  <c r="M99" i="1"/>
  <c r="L99" i="1"/>
  <c r="I99" i="1"/>
  <c r="O98" i="1"/>
  <c r="N98" i="1"/>
  <c r="M98" i="1"/>
  <c r="L98" i="1"/>
  <c r="I98" i="1"/>
  <c r="O97" i="1"/>
  <c r="N97" i="1"/>
  <c r="M97" i="1"/>
  <c r="L97" i="1"/>
  <c r="I97" i="1"/>
  <c r="O96" i="1"/>
  <c r="N96" i="1"/>
  <c r="M96" i="1"/>
  <c r="L96" i="1"/>
  <c r="I96" i="1"/>
  <c r="O95" i="1"/>
  <c r="N95" i="1"/>
  <c r="M95" i="1"/>
  <c r="L95" i="1"/>
  <c r="I95" i="1"/>
  <c r="I93" i="1"/>
  <c r="J93" i="1" s="1"/>
  <c r="AW93" i="1" s="1"/>
  <c r="G93" i="1"/>
  <c r="L93" i="1" s="1"/>
  <c r="E93" i="1"/>
  <c r="I92" i="1"/>
  <c r="J92" i="1" s="1"/>
  <c r="AW92" i="1" s="1"/>
  <c r="G92" i="1"/>
  <c r="L92" i="1" s="1"/>
  <c r="E92" i="1"/>
  <c r="I91" i="1"/>
  <c r="J91" i="1" s="1"/>
  <c r="AW91" i="1" s="1"/>
  <c r="G91" i="1"/>
  <c r="L91" i="1" s="1"/>
  <c r="E91" i="1"/>
  <c r="I90" i="1"/>
  <c r="J90" i="1" s="1"/>
  <c r="G90" i="1"/>
  <c r="L90" i="1" s="1"/>
  <c r="E90" i="1"/>
  <c r="I89" i="1"/>
  <c r="J89" i="1" s="1"/>
  <c r="AW89" i="1" s="1"/>
  <c r="G89" i="1"/>
  <c r="L89" i="1" s="1"/>
  <c r="E89" i="1"/>
  <c r="I88" i="1"/>
  <c r="J88" i="1" s="1"/>
  <c r="AW88" i="1" s="1"/>
  <c r="G88" i="1"/>
  <c r="L88" i="1" s="1"/>
  <c r="E88" i="1"/>
  <c r="I87" i="1"/>
  <c r="J87" i="1" s="1"/>
  <c r="AW87" i="1" s="1"/>
  <c r="G87" i="1"/>
  <c r="L87" i="1" s="1"/>
  <c r="E87" i="1"/>
  <c r="I86" i="1"/>
  <c r="J86" i="1" s="1"/>
  <c r="AW86" i="1" s="1"/>
  <c r="G86" i="1"/>
  <c r="L86" i="1" s="1"/>
  <c r="E86" i="1"/>
  <c r="I85" i="1"/>
  <c r="J85" i="1" s="1"/>
  <c r="AW85" i="1" s="1"/>
  <c r="G85" i="1"/>
  <c r="L85" i="1" s="1"/>
  <c r="E85" i="1"/>
  <c r="I84" i="1"/>
  <c r="J84" i="1" s="1"/>
  <c r="G84" i="1"/>
  <c r="L84" i="1" s="1"/>
  <c r="E84" i="1"/>
  <c r="O84" i="1" s="1"/>
  <c r="I83" i="1"/>
  <c r="G83" i="1"/>
  <c r="L83" i="1" s="1"/>
  <c r="E83" i="1"/>
  <c r="L75" i="1"/>
  <c r="I75" i="1"/>
  <c r="F75" i="1"/>
  <c r="E75" i="1"/>
  <c r="L74" i="1"/>
  <c r="I74" i="1"/>
  <c r="F74" i="1"/>
  <c r="E74" i="1"/>
  <c r="L73" i="1"/>
  <c r="I73" i="1"/>
  <c r="F73" i="1"/>
  <c r="E73" i="1"/>
  <c r="L72" i="1"/>
  <c r="I72" i="1"/>
  <c r="F72" i="1"/>
  <c r="E72" i="1"/>
  <c r="L71" i="1"/>
  <c r="I71" i="1"/>
  <c r="F71" i="1"/>
  <c r="E71" i="1"/>
  <c r="L70" i="1"/>
  <c r="I70" i="1"/>
  <c r="F70" i="1"/>
  <c r="E70" i="1"/>
  <c r="L69" i="1"/>
  <c r="I69" i="1"/>
  <c r="F69" i="1"/>
  <c r="E69" i="1"/>
  <c r="L68" i="1"/>
  <c r="I68" i="1"/>
  <c r="F68" i="1"/>
  <c r="E68" i="1"/>
  <c r="L67" i="1"/>
  <c r="I67" i="1"/>
  <c r="F67" i="1"/>
  <c r="E67" i="1"/>
  <c r="L66" i="1"/>
  <c r="I66" i="1"/>
  <c r="F66" i="1"/>
  <c r="E66" i="1"/>
  <c r="L65" i="1"/>
  <c r="I65" i="1"/>
  <c r="F65" i="1"/>
  <c r="E65" i="1"/>
  <c r="L64" i="1"/>
  <c r="I64" i="1"/>
  <c r="F64" i="1"/>
  <c r="E64" i="1"/>
  <c r="L63" i="1"/>
  <c r="I63" i="1"/>
  <c r="F63" i="1"/>
  <c r="E63" i="1"/>
  <c r="L62" i="1"/>
  <c r="I62" i="1"/>
  <c r="F62" i="1"/>
  <c r="E62" i="1"/>
  <c r="O61" i="1"/>
  <c r="N61" i="1"/>
  <c r="M61" i="1"/>
  <c r="L61" i="1"/>
  <c r="I61" i="1"/>
  <c r="F61" i="1"/>
  <c r="E61" i="1"/>
  <c r="L60" i="1"/>
  <c r="I60" i="1"/>
  <c r="F60" i="1"/>
  <c r="E60" i="1"/>
  <c r="L59" i="1"/>
  <c r="I59" i="1"/>
  <c r="F59" i="1"/>
  <c r="E59" i="1"/>
  <c r="L58" i="1"/>
  <c r="I58" i="1"/>
  <c r="F58" i="1"/>
  <c r="E58" i="1"/>
  <c r="L57" i="1"/>
  <c r="I57" i="1"/>
  <c r="F57" i="1"/>
  <c r="E57" i="1"/>
  <c r="L56" i="1"/>
  <c r="I56" i="1"/>
  <c r="F56" i="1"/>
  <c r="E56" i="1"/>
  <c r="L55" i="1"/>
  <c r="I55" i="1"/>
  <c r="F55" i="1"/>
  <c r="E55" i="1"/>
  <c r="L54" i="1"/>
  <c r="I54" i="1"/>
  <c r="F54" i="1"/>
  <c r="E54" i="1"/>
  <c r="L53" i="1"/>
  <c r="I53" i="1"/>
  <c r="F53" i="1"/>
  <c r="E53" i="1"/>
  <c r="L52" i="1"/>
  <c r="I52" i="1"/>
  <c r="F52" i="1"/>
  <c r="E52" i="1"/>
  <c r="L51" i="1"/>
  <c r="I51" i="1"/>
  <c r="F51" i="1"/>
  <c r="E51" i="1"/>
  <c r="L50" i="1"/>
  <c r="I50" i="1"/>
  <c r="F50" i="1"/>
  <c r="E50" i="1"/>
  <c r="L49" i="1"/>
  <c r="I49" i="1"/>
  <c r="F49" i="1"/>
  <c r="E49" i="1"/>
  <c r="L48" i="1"/>
  <c r="I48" i="1"/>
  <c r="F48" i="1"/>
  <c r="E48" i="1"/>
  <c r="L47" i="1"/>
  <c r="I47" i="1"/>
  <c r="F47" i="1"/>
  <c r="E47" i="1"/>
  <c r="L46" i="1"/>
  <c r="I46" i="1"/>
  <c r="F46" i="1"/>
  <c r="E46" i="1"/>
  <c r="L45" i="1"/>
  <c r="I45" i="1"/>
  <c r="F45" i="1"/>
  <c r="E45" i="1"/>
  <c r="L44" i="1"/>
  <c r="I44" i="1"/>
  <c r="F44" i="1"/>
  <c r="E44" i="1"/>
  <c r="L43" i="1"/>
  <c r="I43" i="1"/>
  <c r="F43" i="1"/>
  <c r="E43" i="1"/>
  <c r="L42" i="1"/>
  <c r="I42" i="1"/>
  <c r="F42" i="1"/>
  <c r="E42" i="1"/>
  <c r="L41" i="1"/>
  <c r="I41" i="1"/>
  <c r="F41" i="1"/>
  <c r="E41" i="1"/>
  <c r="L40" i="1"/>
  <c r="I40" i="1"/>
  <c r="F40" i="1"/>
  <c r="E40" i="1"/>
  <c r="L39" i="1"/>
  <c r="I39" i="1"/>
  <c r="F39" i="1"/>
  <c r="E39" i="1"/>
  <c r="L38" i="1"/>
  <c r="I38" i="1"/>
  <c r="F38" i="1"/>
  <c r="E38" i="1"/>
  <c r="L37" i="1"/>
  <c r="I37" i="1"/>
  <c r="AW37" i="1" s="1"/>
  <c r="F37" i="1"/>
  <c r="E37" i="1"/>
  <c r="L36" i="1"/>
  <c r="I36" i="1"/>
  <c r="AW36" i="1" s="1"/>
  <c r="F36" i="1"/>
  <c r="E36" i="1"/>
  <c r="L35" i="1"/>
  <c r="I35" i="1"/>
  <c r="AW35" i="1" s="1"/>
  <c r="F35" i="1"/>
  <c r="E35" i="1"/>
  <c r="L34" i="1"/>
  <c r="I34" i="1"/>
  <c r="AW34" i="1" s="1"/>
  <c r="F34" i="1"/>
  <c r="E34" i="1"/>
  <c r="L33" i="1"/>
  <c r="I33" i="1"/>
  <c r="AW33" i="1" s="1"/>
  <c r="F33" i="1"/>
  <c r="E33" i="1"/>
  <c r="L32" i="1"/>
  <c r="I32" i="1"/>
  <c r="AW32" i="1" s="1"/>
  <c r="F32" i="1"/>
  <c r="E32" i="1"/>
  <c r="L31" i="1"/>
  <c r="I31" i="1"/>
  <c r="F31" i="1"/>
  <c r="E31" i="1"/>
  <c r="L30" i="1"/>
  <c r="I30" i="1"/>
  <c r="F30" i="1"/>
  <c r="E30" i="1"/>
  <c r="L29" i="1"/>
  <c r="I29" i="1"/>
  <c r="F29" i="1"/>
  <c r="E29" i="1"/>
  <c r="AW28" i="1"/>
  <c r="O28" i="1"/>
  <c r="N28" i="1"/>
  <c r="M28" i="1"/>
  <c r="L28" i="1"/>
  <c r="I28" i="1"/>
  <c r="J28" i="1" s="1"/>
  <c r="F28" i="1"/>
  <c r="E28" i="1"/>
  <c r="L27" i="1"/>
  <c r="I27" i="1"/>
  <c r="F27" i="1"/>
  <c r="E27" i="1"/>
  <c r="L26" i="1"/>
  <c r="I26" i="1"/>
  <c r="F26" i="1"/>
  <c r="E26" i="1"/>
  <c r="L25" i="1"/>
  <c r="I25" i="1"/>
  <c r="F25" i="1"/>
  <c r="E25" i="1"/>
  <c r="L24" i="1"/>
  <c r="I24" i="1"/>
  <c r="F24" i="1"/>
  <c r="E24" i="1"/>
  <c r="L23" i="1"/>
  <c r="I23" i="1"/>
  <c r="F23" i="1"/>
  <c r="E23" i="1"/>
  <c r="I21" i="1"/>
  <c r="J21" i="1" s="1"/>
  <c r="AW21" i="1" s="1"/>
  <c r="G21" i="1"/>
  <c r="E21" i="1"/>
  <c r="I20" i="1"/>
  <c r="J20" i="1" s="1"/>
  <c r="AW20" i="1" s="1"/>
  <c r="G20" i="1"/>
  <c r="E20" i="1"/>
  <c r="I19" i="1"/>
  <c r="J19" i="1" s="1"/>
  <c r="AW19" i="1" s="1"/>
  <c r="G19" i="1"/>
  <c r="E19" i="1"/>
  <c r="I18" i="1"/>
  <c r="J18" i="1" s="1"/>
  <c r="AW18" i="1" s="1"/>
  <c r="G18" i="1"/>
  <c r="E18" i="1"/>
  <c r="I17" i="1"/>
  <c r="J17" i="1" s="1"/>
  <c r="AW17" i="1" s="1"/>
  <c r="G17" i="1"/>
  <c r="E17" i="1"/>
  <c r="I16" i="1"/>
  <c r="J16" i="1" s="1"/>
  <c r="AW16" i="1" s="1"/>
  <c r="G16" i="1"/>
  <c r="E16" i="1"/>
  <c r="I15" i="1"/>
  <c r="J15" i="1" s="1"/>
  <c r="AW15" i="1" s="1"/>
  <c r="G15" i="1"/>
  <c r="E15" i="1"/>
  <c r="L14" i="1"/>
  <c r="J14" i="1"/>
  <c r="AW14" i="1" s="1"/>
  <c r="E14" i="1"/>
  <c r="I13" i="1"/>
  <c r="J13" i="1" s="1"/>
  <c r="G13" i="1"/>
  <c r="L13" i="1" s="1"/>
  <c r="E13" i="1"/>
  <c r="O13" i="1" s="1"/>
  <c r="I12" i="1"/>
  <c r="J12" i="1" s="1"/>
  <c r="AW12" i="1" s="1"/>
  <c r="G12" i="1"/>
  <c r="L12" i="1" s="1"/>
  <c r="E12" i="1"/>
  <c r="I11" i="1"/>
  <c r="J11" i="1" s="1"/>
  <c r="AW11" i="1" s="1"/>
  <c r="G11" i="1"/>
  <c r="L11" i="1" s="1"/>
  <c r="E11" i="1"/>
  <c r="I10" i="1"/>
  <c r="J10" i="1" s="1"/>
  <c r="AW10" i="1" s="1"/>
  <c r="G10" i="1"/>
  <c r="L10" i="1" s="1"/>
  <c r="E10" i="1"/>
  <c r="I9" i="1"/>
  <c r="J9" i="1" s="1"/>
  <c r="AW9" i="1" s="1"/>
  <c r="G9" i="1"/>
  <c r="L9" i="1" s="1"/>
  <c r="E9" i="1"/>
  <c r="I8" i="1"/>
  <c r="J8" i="1" s="1"/>
  <c r="AW8" i="1" s="1"/>
  <c r="G8" i="1"/>
  <c r="L8" i="1" s="1"/>
  <c r="E8" i="1"/>
  <c r="I7" i="1"/>
  <c r="J7" i="1" s="1"/>
  <c r="AW7" i="1" s="1"/>
  <c r="G7" i="1"/>
  <c r="L7" i="1" s="1"/>
  <c r="E7" i="1"/>
  <c r="I6" i="1"/>
  <c r="J6" i="1" s="1"/>
  <c r="AW6" i="1" s="1"/>
  <c r="G6" i="1"/>
  <c r="L6" i="1" s="1"/>
  <c r="E6" i="1"/>
  <c r="I5" i="1"/>
  <c r="G5" i="1"/>
  <c r="L5" i="1" s="1"/>
  <c r="E5" i="1"/>
  <c r="AW84" i="1" l="1"/>
  <c r="O135" i="1"/>
  <c r="N135" i="1"/>
  <c r="M135" i="1"/>
  <c r="J134" i="1"/>
  <c r="AW134" i="1"/>
  <c r="M134" i="1"/>
  <c r="N134" i="1"/>
  <c r="O134" i="1"/>
  <c r="J133" i="1"/>
  <c r="AW133" i="1"/>
  <c r="AW132" i="1"/>
  <c r="J132" i="1"/>
  <c r="M132" i="1"/>
  <c r="O132" i="1"/>
  <c r="N132" i="1"/>
  <c r="J131" i="1"/>
  <c r="AW131" i="1"/>
  <c r="M131" i="1"/>
  <c r="O131" i="1"/>
  <c r="N131" i="1"/>
  <c r="AW130" i="1"/>
  <c r="J130" i="1"/>
  <c r="N130" i="1"/>
  <c r="O130" i="1"/>
  <c r="M130" i="1"/>
  <c r="AW129" i="1"/>
  <c r="J129" i="1"/>
  <c r="O129" i="1"/>
  <c r="M129" i="1"/>
  <c r="N129" i="1"/>
  <c r="J128" i="1"/>
  <c r="AW128" i="1"/>
  <c r="N128" i="1"/>
  <c r="M128" i="1"/>
  <c r="O128" i="1"/>
  <c r="J127" i="1"/>
  <c r="AW127" i="1"/>
  <c r="M127" i="1"/>
  <c r="O127" i="1"/>
  <c r="N127" i="1"/>
  <c r="AW126" i="1"/>
  <c r="J126" i="1"/>
  <c r="N126" i="1"/>
  <c r="M126" i="1"/>
  <c r="O126" i="1"/>
  <c r="J125" i="1"/>
  <c r="AW125" i="1"/>
  <c r="M125" i="1"/>
  <c r="N125" i="1"/>
  <c r="O125" i="1"/>
  <c r="O123" i="1"/>
  <c r="M123" i="1"/>
  <c r="N123" i="1"/>
  <c r="N122" i="1"/>
  <c r="O122" i="1"/>
  <c r="M122" i="1"/>
  <c r="O120" i="1"/>
  <c r="N120" i="1"/>
  <c r="M120" i="1"/>
  <c r="N119" i="1"/>
  <c r="M119" i="1"/>
  <c r="O119" i="1"/>
  <c r="O118" i="1"/>
  <c r="M118" i="1"/>
  <c r="N118" i="1"/>
  <c r="M117" i="1"/>
  <c r="O117" i="1"/>
  <c r="N117" i="1"/>
  <c r="M116" i="1"/>
  <c r="O116" i="1"/>
  <c r="N116" i="1"/>
  <c r="N115" i="1"/>
  <c r="O115" i="1"/>
  <c r="M115" i="1"/>
  <c r="N114" i="1"/>
  <c r="M114" i="1"/>
  <c r="O114" i="1"/>
  <c r="J113" i="1"/>
  <c r="AW113" i="1" s="1"/>
  <c r="I136" i="1"/>
  <c r="O113" i="1"/>
  <c r="N113" i="1"/>
  <c r="M113" i="1"/>
  <c r="AW105" i="1"/>
  <c r="J105" i="1"/>
  <c r="AW104" i="1"/>
  <c r="J104" i="1"/>
  <c r="AW103" i="1"/>
  <c r="J103" i="1"/>
  <c r="AW102" i="1"/>
  <c r="J102" i="1"/>
  <c r="AW101" i="1"/>
  <c r="J101" i="1"/>
  <c r="J99" i="1"/>
  <c r="AW99" i="1"/>
  <c r="J98" i="1"/>
  <c r="AW98" i="1"/>
  <c r="J97" i="1"/>
  <c r="AW97" i="1"/>
  <c r="AW96" i="1"/>
  <c r="J96" i="1"/>
  <c r="AW95" i="1"/>
  <c r="J95" i="1"/>
  <c r="O93" i="1"/>
  <c r="M93" i="1"/>
  <c r="N93" i="1"/>
  <c r="O92" i="1"/>
  <c r="N92" i="1"/>
  <c r="M92" i="1"/>
  <c r="O91" i="1"/>
  <c r="N91" i="1"/>
  <c r="M91" i="1"/>
  <c r="N90" i="1"/>
  <c r="O90" i="1"/>
  <c r="M90" i="1"/>
  <c r="N89" i="1"/>
  <c r="O89" i="1"/>
  <c r="M89" i="1"/>
  <c r="O88" i="1"/>
  <c r="N88" i="1"/>
  <c r="M88" i="1"/>
  <c r="O87" i="1"/>
  <c r="M87" i="1"/>
  <c r="N87" i="1"/>
  <c r="O86" i="1"/>
  <c r="N86" i="1"/>
  <c r="M86" i="1"/>
  <c r="N85" i="1"/>
  <c r="O85" i="1"/>
  <c r="M85" i="1"/>
  <c r="N84" i="1"/>
  <c r="M84" i="1"/>
  <c r="I106" i="1"/>
  <c r="J83" i="1"/>
  <c r="AW83" i="1" s="1"/>
  <c r="O83" i="1"/>
  <c r="N83" i="1"/>
  <c r="M83" i="1"/>
  <c r="O75" i="1"/>
  <c r="N75" i="1"/>
  <c r="M75" i="1"/>
  <c r="N74" i="1"/>
  <c r="M74" i="1"/>
  <c r="O74" i="1"/>
  <c r="O73" i="1"/>
  <c r="M73" i="1"/>
  <c r="N73" i="1"/>
  <c r="M72" i="1"/>
  <c r="N72" i="1"/>
  <c r="O72" i="1"/>
  <c r="M71" i="1"/>
  <c r="N71" i="1"/>
  <c r="O71" i="1"/>
  <c r="N70" i="1"/>
  <c r="M70" i="1"/>
  <c r="O70" i="1"/>
  <c r="M69" i="1"/>
  <c r="N69" i="1"/>
  <c r="O69" i="1"/>
  <c r="O68" i="1"/>
  <c r="M68" i="1"/>
  <c r="N68" i="1"/>
  <c r="M67" i="1"/>
  <c r="N67" i="1"/>
  <c r="O67" i="1"/>
  <c r="M66" i="1"/>
  <c r="N66" i="1"/>
  <c r="O66" i="1"/>
  <c r="O65" i="1"/>
  <c r="N65" i="1"/>
  <c r="M65" i="1"/>
  <c r="O64" i="1"/>
  <c r="M64" i="1"/>
  <c r="N64" i="1"/>
  <c r="M63" i="1"/>
  <c r="N63" i="1"/>
  <c r="O63" i="1"/>
  <c r="N62" i="1"/>
  <c r="M62" i="1"/>
  <c r="O62" i="1"/>
  <c r="N60" i="1"/>
  <c r="M60" i="1"/>
  <c r="O60" i="1"/>
  <c r="O59" i="1"/>
  <c r="N59" i="1"/>
  <c r="M59" i="1"/>
  <c r="O58" i="1"/>
  <c r="N58" i="1"/>
  <c r="M58" i="1"/>
  <c r="O57" i="1"/>
  <c r="N57" i="1"/>
  <c r="M57" i="1"/>
  <c r="O56" i="1"/>
  <c r="N56" i="1"/>
  <c r="M56" i="1"/>
  <c r="N55" i="1"/>
  <c r="M55" i="1"/>
  <c r="O55" i="1"/>
  <c r="N54" i="1"/>
  <c r="M54" i="1"/>
  <c r="O54" i="1"/>
  <c r="N53" i="1"/>
  <c r="M53" i="1"/>
  <c r="O53" i="1"/>
  <c r="M52" i="1"/>
  <c r="N52" i="1"/>
  <c r="O52" i="1"/>
  <c r="M51" i="1"/>
  <c r="O51" i="1"/>
  <c r="N51" i="1"/>
  <c r="M50" i="1"/>
  <c r="N50" i="1"/>
  <c r="O50" i="1"/>
  <c r="N49" i="1"/>
  <c r="O49" i="1"/>
  <c r="M49" i="1"/>
  <c r="O48" i="1"/>
  <c r="N48" i="1"/>
  <c r="M48" i="1"/>
  <c r="O47" i="1"/>
  <c r="N47" i="1"/>
  <c r="M47" i="1"/>
  <c r="N46" i="1"/>
  <c r="O46" i="1"/>
  <c r="M46" i="1"/>
  <c r="M45" i="1"/>
  <c r="O45" i="1"/>
  <c r="N45" i="1"/>
  <c r="N44" i="1"/>
  <c r="M44" i="1"/>
  <c r="O44" i="1"/>
  <c r="O43" i="1"/>
  <c r="M43" i="1"/>
  <c r="N43" i="1"/>
  <c r="O42" i="1"/>
  <c r="M42" i="1"/>
  <c r="N42" i="1"/>
  <c r="M41" i="1"/>
  <c r="N41" i="1"/>
  <c r="O41" i="1"/>
  <c r="M40" i="1"/>
  <c r="N40" i="1"/>
  <c r="O40" i="1"/>
  <c r="M39" i="1"/>
  <c r="N39" i="1"/>
  <c r="O39" i="1"/>
  <c r="O38" i="1"/>
  <c r="M38" i="1"/>
  <c r="N38" i="1"/>
  <c r="O37" i="1"/>
  <c r="N37" i="1"/>
  <c r="M37" i="1"/>
  <c r="O36" i="1"/>
  <c r="N36" i="1"/>
  <c r="M36" i="1"/>
  <c r="O35" i="1"/>
  <c r="N35" i="1"/>
  <c r="M35" i="1"/>
  <c r="N34" i="1"/>
  <c r="O34" i="1"/>
  <c r="M34" i="1"/>
  <c r="O33" i="1"/>
  <c r="N33" i="1"/>
  <c r="M33" i="1"/>
  <c r="O32" i="1"/>
  <c r="N32" i="1"/>
  <c r="M32" i="1"/>
  <c r="AW31" i="1"/>
  <c r="J31" i="1"/>
  <c r="M31" i="1"/>
  <c r="O31" i="1"/>
  <c r="N31" i="1"/>
  <c r="AW30" i="1"/>
  <c r="J30" i="1"/>
  <c r="N30" i="1"/>
  <c r="O30" i="1"/>
  <c r="M30" i="1"/>
  <c r="AW29" i="1"/>
  <c r="J29" i="1"/>
  <c r="M29" i="1"/>
  <c r="O29" i="1"/>
  <c r="N29" i="1"/>
  <c r="J27" i="1"/>
  <c r="AW27" i="1"/>
  <c r="M27" i="1"/>
  <c r="N27" i="1"/>
  <c r="O27" i="1"/>
  <c r="J26" i="1"/>
  <c r="AW26" i="1"/>
  <c r="M26" i="1"/>
  <c r="N26" i="1"/>
  <c r="O26" i="1"/>
  <c r="AW25" i="1"/>
  <c r="J25" i="1"/>
  <c r="M25" i="1"/>
  <c r="N25" i="1"/>
  <c r="O25" i="1"/>
  <c r="AW24" i="1"/>
  <c r="J24" i="1"/>
  <c r="O24" i="1"/>
  <c r="N24" i="1"/>
  <c r="M24" i="1"/>
  <c r="AW23" i="1"/>
  <c r="J23" i="1"/>
  <c r="O23" i="1"/>
  <c r="N23" i="1"/>
  <c r="M23" i="1"/>
  <c r="N21" i="1"/>
  <c r="M21" i="1"/>
  <c r="O21" i="1"/>
  <c r="N20" i="1"/>
  <c r="M20" i="1"/>
  <c r="O20" i="1"/>
  <c r="M19" i="1"/>
  <c r="O19" i="1"/>
  <c r="N19" i="1"/>
  <c r="M18" i="1"/>
  <c r="N18" i="1"/>
  <c r="O18" i="1"/>
  <c r="O17" i="1"/>
  <c r="N17" i="1"/>
  <c r="M17" i="1"/>
  <c r="M16" i="1"/>
  <c r="N16" i="1"/>
  <c r="O16" i="1"/>
  <c r="O15" i="1"/>
  <c r="N15" i="1"/>
  <c r="M15" i="1"/>
  <c r="O14" i="1"/>
  <c r="N14" i="1"/>
  <c r="M14" i="1"/>
  <c r="N13" i="1"/>
  <c r="M13" i="1"/>
  <c r="N12" i="1"/>
  <c r="M12" i="1"/>
  <c r="O12" i="1"/>
  <c r="N11" i="1"/>
  <c r="M11" i="1"/>
  <c r="O11" i="1"/>
  <c r="O10" i="1"/>
  <c r="N10" i="1"/>
  <c r="M10" i="1"/>
  <c r="O9" i="1"/>
  <c r="N9" i="1"/>
  <c r="M9" i="1"/>
  <c r="O8" i="1"/>
  <c r="N8" i="1"/>
  <c r="M8" i="1"/>
  <c r="O7" i="1"/>
  <c r="N7" i="1"/>
  <c r="M7" i="1"/>
  <c r="N6" i="1"/>
  <c r="O6" i="1"/>
  <c r="M6" i="1"/>
  <c r="I76" i="1"/>
  <c r="J5" i="1"/>
  <c r="AW5" i="1" s="1"/>
  <c r="M5" i="1"/>
  <c r="M76" i="1" s="1"/>
  <c r="O5" i="1"/>
  <c r="O76" i="1" s="1"/>
  <c r="N5" i="1"/>
  <c r="N76" i="1" s="1"/>
  <c r="AW90" i="1"/>
  <c r="AW13" i="1"/>
  <c r="O106" i="1" l="1"/>
  <c r="N106" i="1"/>
  <c r="K77" i="1"/>
  <c r="O136" i="1"/>
  <c r="N136" i="1"/>
  <c r="M136" i="1"/>
  <c r="M106" i="1"/>
  <c r="K137" i="1" l="1"/>
  <c r="K107" i="1"/>
</calcChain>
</file>

<file path=xl/sharedStrings.xml><?xml version="1.0" encoding="utf-8"?>
<sst xmlns="http://schemas.openxmlformats.org/spreadsheetml/2006/main" count="168" uniqueCount="30">
  <si>
    <t>N°</t>
  </si>
  <si>
    <t>Nom Client</t>
  </si>
  <si>
    <t>Nom</t>
  </si>
  <si>
    <t>Activité</t>
  </si>
  <si>
    <t>Tx Jour</t>
  </si>
  <si>
    <t>Taux Horaire</t>
  </si>
  <si>
    <t>Heure contrat 
(7 si 35h 
7,5 si 37,5)</t>
  </si>
  <si>
    <t>Total Heures</t>
  </si>
  <si>
    <t>Equiv
Jours</t>
  </si>
  <si>
    <t>HS à refacturer sur l'AS</t>
  </si>
  <si>
    <t>Montant 125%</t>
  </si>
  <si>
    <t>Méca</t>
  </si>
  <si>
    <t>Calcul</t>
  </si>
  <si>
    <t>Elec</t>
  </si>
  <si>
    <t>L</t>
  </si>
  <si>
    <t>M</t>
  </si>
  <si>
    <t>J</t>
  </si>
  <si>
    <t>V</t>
  </si>
  <si>
    <t>S</t>
  </si>
  <si>
    <t>D</t>
  </si>
  <si>
    <t>Jours/heures en commande initiale</t>
  </si>
  <si>
    <t>Jours/heures restant sur la commande</t>
  </si>
  <si>
    <t>PRESTATION EXTERNE en TARIF JOURNALIER</t>
  </si>
  <si>
    <t>CBE</t>
  </si>
  <si>
    <t>PRESTATION EXTERNE en TARIF HORAIRE</t>
  </si>
  <si>
    <t>CAS</t>
  </si>
  <si>
    <t>PRESTATION INTERNE AU BE</t>
  </si>
  <si>
    <t>TARIF JOURNALIER</t>
  </si>
  <si>
    <t>TARIF HORAIRE</t>
  </si>
  <si>
    <t>PRESTATION EN INTERGROUPE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</si>
</sst>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\€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164" fontId="0" fillId="10" borderId="8" xfId="0" applyNumberForma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4" fontId="0" fillId="2" borderId="9" xfId="1" applyFont="1" applyFill="1" applyBorder="1" applyAlignment="1">
      <alignment horizontal="center"/>
    </xf>
    <xf numFmtId="44" fontId="0" fillId="3" borderId="9" xfId="1" applyFont="1" applyFill="1" applyBorder="1" applyAlignment="1">
      <alignment horizontal="center" vertical="center"/>
    </xf>
    <xf numFmtId="44" fontId="0" fillId="4" borderId="10" xfId="1" applyFont="1" applyFill="1" applyBorder="1" applyAlignment="1">
      <alignment horizontal="center" vertical="center"/>
    </xf>
    <xf numFmtId="44" fontId="0" fillId="5" borderId="2" xfId="1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44" fontId="0" fillId="2" borderId="11" xfId="1" applyFont="1" applyFill="1" applyBorder="1" applyAlignment="1">
      <alignment horizontal="center"/>
    </xf>
    <xf numFmtId="44" fontId="0" fillId="3" borderId="1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44" fontId="0" fillId="5" borderId="3" xfId="1" applyFont="1" applyFill="1" applyBorder="1" applyAlignment="1">
      <alignment horizontal="center" vertical="center"/>
    </xf>
    <xf numFmtId="44" fontId="0" fillId="4" borderId="3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4" fontId="0" fillId="2" borderId="0" xfId="1" applyFont="1" applyFill="1" applyBorder="1" applyAlignment="1">
      <alignment horizontal="center"/>
    </xf>
    <xf numFmtId="44" fontId="0" fillId="3" borderId="3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44" fontId="0" fillId="3" borderId="12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4" fontId="3" fillId="3" borderId="13" xfId="1" applyFont="1" applyFill="1" applyBorder="1" applyAlignment="1">
      <alignment horizontal="center" vertical="center"/>
    </xf>
    <xf numFmtId="44" fontId="3" fillId="4" borderId="5" xfId="1" applyFont="1" applyFill="1" applyBorder="1" applyAlignment="1">
      <alignment horizontal="center" vertical="center"/>
    </xf>
    <xf numFmtId="44" fontId="3" fillId="5" borderId="13" xfId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5" borderId="11" xfId="1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Pr&#233;visionnel%20AS%20(1).xlsm" TargetMode="External"/><Relationship Id="rId2" Type="http://schemas.openxmlformats.org/officeDocument/2006/relationships/externalLinkPath" Target="file:///C:\Users\zoul\Downloads\Pr&#233;visionnel%20AS%20(1).xlsm" TargetMode="External"/><Relationship Id="rId1" Type="http://schemas.openxmlformats.org/officeDocument/2006/relationships/externalLinkPath" Target="/Users/zoul/Downloads/Pr&#233;visionnel%20AS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évisionnel"/>
      <sheetName val="JoursFeries"/>
      <sheetName val="Données"/>
      <sheetName val="septembre 2024"/>
      <sheetName val="octobre 2024"/>
      <sheetName val="novembre 2024"/>
      <sheetName val="décembre 2024"/>
      <sheetName val="janvier 2025"/>
      <sheetName val="février 2025"/>
      <sheetName val="mars 2025"/>
      <sheetName val="avril 2025"/>
      <sheetName val="mai 2025"/>
      <sheetName val="juin 2025"/>
      <sheetName val="juillet 2025"/>
      <sheetName val="août 2025"/>
      <sheetName val="septembre 2025"/>
      <sheetName val="octobre 2025"/>
      <sheetName val="novembre 2025"/>
      <sheetName val="décembre 2025"/>
      <sheetName val="Janvier 2026"/>
      <sheetName val="Février 2026"/>
      <sheetName val="Mars 2026"/>
      <sheetName val="Avril 2026"/>
      <sheetName val="Mai 2026"/>
      <sheetName val="Juin 2026"/>
      <sheetName val="Juillet 2026"/>
      <sheetName val="Août 2026"/>
      <sheetName val="Septembre 2026"/>
      <sheetName val="Octobre 2026"/>
      <sheetName val="Novembre 2026"/>
      <sheetName val="Décembre 2026"/>
      <sheetName val="Janvier 2027"/>
      <sheetName val="Février 2027"/>
      <sheetName val="Mars 2027"/>
      <sheetName val="Avril 2027"/>
      <sheetName val="Mai 2027"/>
      <sheetName val="Juin 2027"/>
      <sheetName val="Juillet 2027"/>
      <sheetName val="Août 2027"/>
      <sheetName val="Septembre 2027"/>
      <sheetName val="Octobre 2027"/>
      <sheetName val="Novembre 2027"/>
      <sheetName val="Décembre 2027"/>
    </sheetNames>
    <sheetDataSet>
      <sheetData sheetId="0"/>
      <sheetData sheetId="1"/>
      <sheetData sheetId="2">
        <row r="1">
          <cell r="A1" t="str">
            <v>ALA</v>
          </cell>
          <cell r="B1" t="str">
            <v>Méca</v>
          </cell>
        </row>
        <row r="2">
          <cell r="A2" t="str">
            <v>BBE</v>
          </cell>
          <cell r="B2" t="str">
            <v>Méca</v>
          </cell>
        </row>
        <row r="3">
          <cell r="A3" t="str">
            <v>DFE</v>
          </cell>
          <cell r="B3" t="str">
            <v>Elec</v>
          </cell>
        </row>
        <row r="4">
          <cell r="A4" t="str">
            <v>ECA</v>
          </cell>
          <cell r="B4" t="str">
            <v>Méca</v>
          </cell>
        </row>
        <row r="5">
          <cell r="A5" t="str">
            <v>ECO</v>
          </cell>
          <cell r="B5" t="str">
            <v>Méca</v>
          </cell>
        </row>
        <row r="6">
          <cell r="A6" t="str">
            <v>FDE</v>
          </cell>
          <cell r="B6" t="str">
            <v>Elec</v>
          </cell>
        </row>
        <row r="7">
          <cell r="A7" t="str">
            <v>FVI</v>
          </cell>
          <cell r="B7" t="str">
            <v>Méca</v>
          </cell>
        </row>
        <row r="8">
          <cell r="A8" t="str">
            <v>KID</v>
          </cell>
          <cell r="B8" t="str">
            <v>Elec</v>
          </cell>
        </row>
        <row r="9">
          <cell r="A9" t="str">
            <v>KPI</v>
          </cell>
          <cell r="B9" t="str">
            <v>Méca</v>
          </cell>
        </row>
        <row r="10">
          <cell r="A10" t="str">
            <v>MCO</v>
          </cell>
          <cell r="B10" t="str">
            <v>Méca</v>
          </cell>
        </row>
        <row r="11">
          <cell r="A11" t="str">
            <v>MMO</v>
          </cell>
          <cell r="B11" t="str">
            <v>Calcul</v>
          </cell>
        </row>
        <row r="12">
          <cell r="A12" t="str">
            <v>NRA</v>
          </cell>
          <cell r="B12" t="str">
            <v>Méca</v>
          </cell>
        </row>
        <row r="13">
          <cell r="A13" t="str">
            <v>PDE</v>
          </cell>
          <cell r="B13" t="str">
            <v>Méca</v>
          </cell>
        </row>
        <row r="14">
          <cell r="A14" t="str">
            <v>PHE</v>
          </cell>
          <cell r="B14" t="str">
            <v>Méca</v>
          </cell>
        </row>
        <row r="15">
          <cell r="A15" t="str">
            <v>PLG</v>
          </cell>
          <cell r="B15" t="str">
            <v>Méca</v>
          </cell>
        </row>
        <row r="16">
          <cell r="A16" t="str">
            <v>RCH</v>
          </cell>
          <cell r="B16" t="str">
            <v>Méca</v>
          </cell>
        </row>
        <row r="17">
          <cell r="A17" t="str">
            <v>TDE</v>
          </cell>
          <cell r="B17" t="str">
            <v>Méca</v>
          </cell>
        </row>
        <row r="18">
          <cell r="A18" t="str">
            <v>TVA</v>
          </cell>
          <cell r="B18" t="str">
            <v>Méca</v>
          </cell>
        </row>
        <row r="19">
          <cell r="A19" t="str">
            <v>LAR</v>
          </cell>
          <cell r="B19" t="str">
            <v>Méca</v>
          </cell>
        </row>
        <row r="20">
          <cell r="A20" t="str">
            <v>CBL</v>
          </cell>
          <cell r="B20" t="str">
            <v>Méca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W5">
            <v>24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12E0-DC3A-4A59-B651-9362A67FFF3E}">
  <sheetPr codeName="Feuil242"/>
  <dimension ref="A1:AW137"/>
  <sheetViews>
    <sheetView tabSelected="1" zoomScale="84" zoomScaleNormal="84" workbookViewId="0">
      <pane ySplit="3" topLeftCell="A4" activePane="bottomLeft" state="frozen"/>
      <selection activeCell="K140" sqref="K140"/>
      <selection pane="bottomLeft" activeCell="L14" sqref="L14"/>
    </sheetView>
  </sheetViews>
  <sheetFormatPr baseColWidth="10" defaultColWidth="11.44140625" defaultRowHeight="14.4" x14ac:dyDescent="0.3"/>
  <cols>
    <col min="1" max="1" width="4.6640625" style="5" customWidth="1"/>
    <col min="2" max="2" width="7.44140625" style="5" bestFit="1" customWidth="1"/>
    <col min="3" max="3" width="12.6640625" style="5" customWidth="1"/>
    <col min="4" max="4" width="5.33203125" style="5" bestFit="1" customWidth="1"/>
    <col min="5" max="5" width="7.88671875" style="5" bestFit="1" customWidth="1"/>
    <col min="6" max="6" width="8" style="36" bestFit="1" customWidth="1"/>
    <col min="7" max="7" width="8.109375" style="36" bestFit="1" customWidth="1"/>
    <col min="8" max="8" width="10.6640625" style="36" customWidth="1"/>
    <col min="9" max="9" width="7.6640625" style="5" customWidth="1"/>
    <col min="10" max="10" width="5.88671875" style="5" bestFit="1" customWidth="1"/>
    <col min="11" max="11" width="9.5546875" style="5" customWidth="1"/>
    <col min="12" max="12" width="10" style="5" customWidth="1"/>
    <col min="13" max="13" width="13.33203125" style="5" bestFit="1" customWidth="1"/>
    <col min="14" max="14" width="7.109375" style="5" bestFit="1" customWidth="1"/>
    <col min="15" max="15" width="13.5546875" style="5" customWidth="1"/>
    <col min="16" max="45" width="3.88671875" style="5" customWidth="1"/>
    <col min="46" max="46" width="3.88671875" style="7" customWidth="1"/>
    <col min="47" max="47" width="11.44140625" style="5"/>
    <col min="48" max="48" width="14.109375" style="5" customWidth="1"/>
    <col min="49" max="49" width="14" style="5" customWidth="1"/>
    <col min="50" max="16384" width="11.44140625" style="5"/>
  </cols>
  <sheetData>
    <row r="1" spans="1:49" s="1" customFormat="1" ht="39.75" customHeight="1" x14ac:dyDescent="0.3">
      <c r="A1" s="54" t="s">
        <v>0</v>
      </c>
      <c r="B1" s="54"/>
      <c r="C1" s="54" t="s">
        <v>1</v>
      </c>
      <c r="D1" s="54" t="s">
        <v>2</v>
      </c>
      <c r="E1" s="54" t="s">
        <v>3</v>
      </c>
      <c r="F1" s="58" t="s">
        <v>4</v>
      </c>
      <c r="G1" s="58" t="s">
        <v>5</v>
      </c>
      <c r="H1" s="58" t="s">
        <v>6</v>
      </c>
      <c r="I1" s="54" t="s">
        <v>7</v>
      </c>
      <c r="J1" s="54" t="s">
        <v>8</v>
      </c>
      <c r="K1" s="59" t="s">
        <v>9</v>
      </c>
      <c r="L1" s="61" t="s">
        <v>10</v>
      </c>
      <c r="M1" s="62" t="s">
        <v>11</v>
      </c>
      <c r="N1" s="52" t="s">
        <v>12</v>
      </c>
      <c r="O1" s="53" t="s">
        <v>13</v>
      </c>
      <c r="P1" s="2" t="s">
        <v>14</v>
      </c>
      <c r="Q1" s="2" t="s">
        <v>15</v>
      </c>
      <c r="R1" s="2" t="s">
        <v>15</v>
      </c>
      <c r="S1" s="2" t="s">
        <v>16</v>
      </c>
      <c r="T1" s="2" t="s">
        <v>17</v>
      </c>
      <c r="U1" s="3" t="s">
        <v>18</v>
      </c>
      <c r="V1" s="3" t="s">
        <v>19</v>
      </c>
      <c r="W1" s="2" t="s">
        <v>14</v>
      </c>
      <c r="X1" s="2" t="s">
        <v>15</v>
      </c>
      <c r="Y1" s="2" t="s">
        <v>15</v>
      </c>
      <c r="Z1" s="2" t="s">
        <v>16</v>
      </c>
      <c r="AA1" s="2" t="s">
        <v>17</v>
      </c>
      <c r="AB1" s="3" t="s">
        <v>18</v>
      </c>
      <c r="AC1" s="3" t="s">
        <v>19</v>
      </c>
      <c r="AD1" s="2" t="s">
        <v>14</v>
      </c>
      <c r="AE1" s="2" t="s">
        <v>15</v>
      </c>
      <c r="AF1" s="2" t="s">
        <v>15</v>
      </c>
      <c r="AG1" s="2" t="s">
        <v>16</v>
      </c>
      <c r="AH1" s="2" t="s">
        <v>17</v>
      </c>
      <c r="AI1" s="3" t="s">
        <v>18</v>
      </c>
      <c r="AJ1" s="3" t="s">
        <v>19</v>
      </c>
      <c r="AK1" s="2" t="s">
        <v>14</v>
      </c>
      <c r="AL1" s="2" t="s">
        <v>15</v>
      </c>
      <c r="AM1" s="2" t="s">
        <v>15</v>
      </c>
      <c r="AN1" s="2" t="s">
        <v>16</v>
      </c>
      <c r="AO1" s="2" t="s">
        <v>17</v>
      </c>
      <c r="AP1" s="3" t="s">
        <v>18</v>
      </c>
      <c r="AQ1" s="3" t="s">
        <v>19</v>
      </c>
      <c r="AR1" s="2" t="s">
        <v>14</v>
      </c>
      <c r="AS1" s="2" t="s">
        <v>15</v>
      </c>
      <c r="AT1" s="4"/>
      <c r="AV1" s="54" t="s">
        <v>20</v>
      </c>
      <c r="AW1" s="54" t="s">
        <v>21</v>
      </c>
    </row>
    <row r="2" spans="1:49" x14ac:dyDescent="0.3">
      <c r="A2" s="54"/>
      <c r="B2" s="54"/>
      <c r="C2" s="54"/>
      <c r="D2" s="54"/>
      <c r="E2" s="54"/>
      <c r="F2" s="58"/>
      <c r="G2" s="58"/>
      <c r="H2" s="58"/>
      <c r="I2" s="54"/>
      <c r="J2" s="54"/>
      <c r="K2" s="59"/>
      <c r="L2" s="61"/>
      <c r="M2" s="63"/>
      <c r="N2" s="52"/>
      <c r="O2" s="53"/>
      <c r="P2" s="5">
        <v>1</v>
      </c>
      <c r="Q2" s="5">
        <v>2</v>
      </c>
      <c r="R2" s="5">
        <v>3</v>
      </c>
      <c r="S2" s="5">
        <v>4</v>
      </c>
      <c r="T2" s="5">
        <v>5</v>
      </c>
      <c r="U2" s="6">
        <v>6</v>
      </c>
      <c r="V2" s="6">
        <v>7</v>
      </c>
      <c r="W2" s="5">
        <v>8</v>
      </c>
      <c r="X2" s="5">
        <v>9</v>
      </c>
      <c r="Y2" s="5">
        <v>10</v>
      </c>
      <c r="Z2" s="5">
        <v>11</v>
      </c>
      <c r="AA2" s="5">
        <v>12</v>
      </c>
      <c r="AB2" s="6">
        <v>13</v>
      </c>
      <c r="AC2" s="6">
        <v>14</v>
      </c>
      <c r="AD2" s="5">
        <v>15</v>
      </c>
      <c r="AE2" s="5">
        <v>16</v>
      </c>
      <c r="AF2" s="5">
        <v>17</v>
      </c>
      <c r="AG2" s="5">
        <v>18</v>
      </c>
      <c r="AH2" s="5">
        <v>19</v>
      </c>
      <c r="AI2" s="6">
        <v>20</v>
      </c>
      <c r="AJ2" s="6">
        <v>21</v>
      </c>
      <c r="AK2" s="5">
        <v>22</v>
      </c>
      <c r="AL2" s="5">
        <v>23</v>
      </c>
      <c r="AM2" s="5">
        <v>24</v>
      </c>
      <c r="AN2" s="5">
        <v>25</v>
      </c>
      <c r="AO2" s="5">
        <v>26</v>
      </c>
      <c r="AP2" s="6">
        <v>27</v>
      </c>
      <c r="AQ2" s="6">
        <v>28</v>
      </c>
      <c r="AR2" s="5">
        <v>29</v>
      </c>
      <c r="AS2" s="5">
        <v>30</v>
      </c>
      <c r="AV2" s="54"/>
      <c r="AW2" s="54"/>
    </row>
    <row r="3" spans="1:49" x14ac:dyDescent="0.3">
      <c r="A3" s="54"/>
      <c r="B3" s="54"/>
      <c r="C3" s="54"/>
      <c r="D3" s="54"/>
      <c r="E3" s="54"/>
      <c r="F3" s="58"/>
      <c r="G3" s="58"/>
      <c r="H3" s="58"/>
      <c r="I3" s="54"/>
      <c r="J3" s="54"/>
      <c r="K3" s="60"/>
      <c r="L3" s="61"/>
      <c r="M3" s="63"/>
      <c r="N3" s="52"/>
      <c r="O3" s="53"/>
      <c r="P3" s="55">
        <v>23</v>
      </c>
      <c r="Q3" s="56"/>
      <c r="R3" s="56"/>
      <c r="S3" s="56"/>
      <c r="T3" s="56"/>
      <c r="U3" s="56"/>
      <c r="V3" s="57"/>
      <c r="W3" s="55">
        <v>24</v>
      </c>
      <c r="X3" s="56"/>
      <c r="Y3" s="56"/>
      <c r="Z3" s="56"/>
      <c r="AA3" s="56"/>
      <c r="AB3" s="56"/>
      <c r="AC3" s="57"/>
      <c r="AD3" s="55">
        <v>25</v>
      </c>
      <c r="AE3" s="56"/>
      <c r="AF3" s="56"/>
      <c r="AG3" s="56"/>
      <c r="AH3" s="56"/>
      <c r="AI3" s="56"/>
      <c r="AJ3" s="57"/>
      <c r="AK3" s="55">
        <v>26</v>
      </c>
      <c r="AL3" s="56"/>
      <c r="AM3" s="56"/>
      <c r="AN3" s="56"/>
      <c r="AO3" s="56"/>
      <c r="AP3" s="56"/>
      <c r="AQ3" s="57"/>
      <c r="AR3" s="55">
        <v>27</v>
      </c>
      <c r="AS3" s="56"/>
      <c r="AT3" s="57"/>
      <c r="AV3" s="54"/>
      <c r="AW3" s="54"/>
    </row>
    <row r="4" spans="1:49" ht="21" x14ac:dyDescent="0.4">
      <c r="A4" s="44" t="s">
        <v>22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3"/>
      <c r="V4" s="43"/>
      <c r="W4" s="44"/>
      <c r="X4" s="44"/>
      <c r="Y4" s="44"/>
      <c r="Z4" s="44"/>
      <c r="AA4" s="44"/>
      <c r="AB4" s="43"/>
      <c r="AC4" s="43"/>
      <c r="AD4" s="44"/>
      <c r="AE4" s="44"/>
      <c r="AF4" s="44"/>
      <c r="AG4" s="44"/>
      <c r="AH4" s="44"/>
      <c r="AI4" s="43"/>
      <c r="AJ4" s="43"/>
      <c r="AK4" s="44"/>
      <c r="AL4" s="44"/>
      <c r="AM4" s="44"/>
      <c r="AN4" s="44"/>
      <c r="AO4" s="44"/>
      <c r="AP4" s="43"/>
      <c r="AQ4" s="43"/>
      <c r="AR4" s="44"/>
      <c r="AS4" s="44"/>
      <c r="AT4" s="44"/>
    </row>
    <row r="5" spans="1:49" s="8" customFormat="1" x14ac:dyDescent="0.3">
      <c r="A5" s="8" t="s">
        <v>23</v>
      </c>
      <c r="B5" s="9"/>
      <c r="C5" s="9"/>
      <c r="D5" s="9"/>
      <c r="E5" s="10" t="str">
        <f>IFERROR(VLOOKUP(D5,[1]Données!A:B,2,FALSE),"")</f>
        <v/>
      </c>
      <c r="F5" s="11"/>
      <c r="G5" s="12" t="str">
        <f t="shared" ref="G5:G21" si="0">IFERROR(F5/H5,"")</f>
        <v/>
      </c>
      <c r="H5" s="9"/>
      <c r="I5" s="10">
        <f>SUM(P5:AT5)</f>
        <v>0</v>
      </c>
      <c r="J5" s="13" t="str">
        <f t="shared" ref="J5:J31" si="1">IFERROR(I5/H5,"")</f>
        <v/>
      </c>
      <c r="K5" s="14"/>
      <c r="L5" s="15" t="str">
        <f>IFERROR((K5*1.25)*G5,"")</f>
        <v/>
      </c>
      <c r="M5" s="16" t="str">
        <f>IF($E5="Méca",I5*G5+L5,"")</f>
        <v/>
      </c>
      <c r="N5" s="17" t="str">
        <f>IF($E5="Calcul",I5*G5+L5,"")</f>
        <v/>
      </c>
      <c r="O5" s="18" t="str">
        <f>IF($E5="Elec",I5*G5+L5,"")</f>
        <v/>
      </c>
      <c r="P5" s="5"/>
      <c r="Q5" s="5"/>
      <c r="R5" s="5"/>
      <c r="S5" s="5"/>
      <c r="T5" s="5"/>
      <c r="U5" s="6"/>
      <c r="V5" s="6"/>
      <c r="W5" s="5"/>
      <c r="X5" s="5"/>
      <c r="Y5" s="5"/>
      <c r="Z5" s="5"/>
      <c r="AA5" s="5"/>
      <c r="AB5" s="6"/>
      <c r="AC5" s="6"/>
      <c r="AD5" s="5"/>
      <c r="AE5" s="5"/>
      <c r="AF5" s="5"/>
      <c r="AG5" s="5"/>
      <c r="AH5" s="5"/>
      <c r="AI5" s="6"/>
      <c r="AJ5" s="6"/>
      <c r="AK5" s="5"/>
      <c r="AL5" s="5"/>
      <c r="AM5" s="5"/>
      <c r="AN5" s="5"/>
      <c r="AO5" s="5"/>
      <c r="AP5" s="6"/>
      <c r="AQ5" s="6"/>
      <c r="AR5" s="5"/>
      <c r="AS5" s="5"/>
      <c r="AT5" s="7"/>
      <c r="AU5" s="5"/>
      <c r="AV5" s="5"/>
      <c r="AW5" s="19" t="e">
        <f t="shared" ref="AW5:AW21" si="2">AV5-J5</f>
        <v>#VALUE!</v>
      </c>
    </row>
    <row r="6" spans="1:49" x14ac:dyDescent="0.3">
      <c r="A6" s="5" t="s">
        <v>23</v>
      </c>
      <c r="B6" s="20"/>
      <c r="C6" s="20"/>
      <c r="D6" s="20"/>
      <c r="E6" s="21" t="str">
        <f>IFERROR(VLOOKUP(D6,[1]Données!A:B,2,FALSE),"")</f>
        <v/>
      </c>
      <c r="F6" s="22"/>
      <c r="G6" s="23" t="str">
        <f t="shared" si="0"/>
        <v/>
      </c>
      <c r="H6" s="20"/>
      <c r="I6" s="21">
        <f>SUM(P6:AT6)</f>
        <v>0</v>
      </c>
      <c r="J6" s="24" t="str">
        <f t="shared" si="1"/>
        <v/>
      </c>
      <c r="K6" s="25"/>
      <c r="L6" s="26" t="str">
        <f t="shared" ref="L6:L13" si="3">IFERROR((K6*1.25)*G6,"")</f>
        <v/>
      </c>
      <c r="M6" s="27" t="str">
        <f t="shared" ref="M6:M21" si="4">IF($E6="Méca",I6*G6+L6,"")</f>
        <v/>
      </c>
      <c r="N6" s="28" t="str">
        <f t="shared" ref="N6:N21" si="5">IF($E6="Calcul",I6*G6+L6,"")</f>
        <v/>
      </c>
      <c r="O6" s="29" t="str">
        <f t="shared" ref="O6:O21" si="6">IF($E6="Elec",I6*G6+L6,"")</f>
        <v/>
      </c>
      <c r="U6" s="6"/>
      <c r="V6" s="6"/>
      <c r="AB6" s="6"/>
      <c r="AC6" s="6"/>
      <c r="AI6" s="6"/>
      <c r="AJ6" s="6"/>
      <c r="AP6" s="6"/>
      <c r="AQ6" s="6"/>
      <c r="AW6" s="19" t="e">
        <f t="shared" si="2"/>
        <v>#VALUE!</v>
      </c>
    </row>
    <row r="7" spans="1:49" x14ac:dyDescent="0.3">
      <c r="A7" s="5" t="s">
        <v>23</v>
      </c>
      <c r="B7" s="20"/>
      <c r="C7" s="20"/>
      <c r="D7" s="20"/>
      <c r="E7" s="21" t="str">
        <f>IFERROR(VLOOKUP(D7,[1]Données!A:B,2,FALSE),"")</f>
        <v/>
      </c>
      <c r="F7" s="22"/>
      <c r="G7" s="23" t="str">
        <f t="shared" si="0"/>
        <v/>
      </c>
      <c r="H7" s="20"/>
      <c r="I7" s="21">
        <f t="shared" ref="I7:I73" si="7">SUM(P7:AT7)</f>
        <v>0</v>
      </c>
      <c r="J7" s="24" t="str">
        <f t="shared" si="1"/>
        <v/>
      </c>
      <c r="K7" s="25"/>
      <c r="L7" s="26" t="str">
        <f t="shared" si="3"/>
        <v/>
      </c>
      <c r="M7" s="27" t="str">
        <f t="shared" si="4"/>
        <v/>
      </c>
      <c r="N7" s="28" t="str">
        <f t="shared" si="5"/>
        <v/>
      </c>
      <c r="O7" s="29" t="str">
        <f t="shared" si="6"/>
        <v/>
      </c>
      <c r="U7" s="6"/>
      <c r="V7" s="6"/>
      <c r="AB7" s="6"/>
      <c r="AC7" s="6"/>
      <c r="AI7" s="6"/>
      <c r="AJ7" s="6"/>
      <c r="AP7" s="6"/>
      <c r="AQ7" s="6"/>
      <c r="AW7" s="19" t="e">
        <f t="shared" si="2"/>
        <v>#VALUE!</v>
      </c>
    </row>
    <row r="8" spans="1:49" x14ac:dyDescent="0.3">
      <c r="A8" s="5" t="s">
        <v>23</v>
      </c>
      <c r="B8" s="20"/>
      <c r="C8" s="20"/>
      <c r="D8" s="20"/>
      <c r="E8" s="21" t="str">
        <f>IFERROR(VLOOKUP(D8,[1]Données!A:B,2,FALSE),"")</f>
        <v/>
      </c>
      <c r="F8" s="22"/>
      <c r="G8" s="23" t="str">
        <f t="shared" si="0"/>
        <v/>
      </c>
      <c r="H8" s="20"/>
      <c r="I8" s="21">
        <f t="shared" si="7"/>
        <v>0</v>
      </c>
      <c r="J8" s="24" t="str">
        <f t="shared" si="1"/>
        <v/>
      </c>
      <c r="K8" s="25"/>
      <c r="L8" s="26" t="str">
        <f t="shared" si="3"/>
        <v/>
      </c>
      <c r="M8" s="27" t="str">
        <f t="shared" si="4"/>
        <v/>
      </c>
      <c r="N8" s="28" t="str">
        <f t="shared" si="5"/>
        <v/>
      </c>
      <c r="O8" s="29" t="str">
        <f t="shared" si="6"/>
        <v/>
      </c>
      <c r="U8" s="6"/>
      <c r="V8" s="6"/>
      <c r="AB8" s="6"/>
      <c r="AC8" s="6"/>
      <c r="AI8" s="6"/>
      <c r="AJ8" s="6"/>
      <c r="AP8" s="6"/>
      <c r="AQ8" s="6"/>
      <c r="AW8" s="19" t="e">
        <f t="shared" si="2"/>
        <v>#VALUE!</v>
      </c>
    </row>
    <row r="9" spans="1:49" x14ac:dyDescent="0.3">
      <c r="A9" s="5" t="s">
        <v>23</v>
      </c>
      <c r="B9" s="20"/>
      <c r="C9" s="20"/>
      <c r="D9" s="20"/>
      <c r="E9" s="21" t="str">
        <f>IFERROR(VLOOKUP(D9,[1]Données!A:B,2,FALSE),"")</f>
        <v/>
      </c>
      <c r="F9" s="22"/>
      <c r="G9" s="23" t="str">
        <f t="shared" si="0"/>
        <v/>
      </c>
      <c r="H9" s="20"/>
      <c r="I9" s="21">
        <f t="shared" si="7"/>
        <v>0</v>
      </c>
      <c r="J9" s="24" t="str">
        <f t="shared" si="1"/>
        <v/>
      </c>
      <c r="K9" s="25"/>
      <c r="L9" s="26" t="str">
        <f t="shared" si="3"/>
        <v/>
      </c>
      <c r="M9" s="27" t="str">
        <f t="shared" si="4"/>
        <v/>
      </c>
      <c r="N9" s="28" t="str">
        <f t="shared" si="5"/>
        <v/>
      </c>
      <c r="O9" s="29" t="str">
        <f t="shared" si="6"/>
        <v/>
      </c>
      <c r="U9" s="6"/>
      <c r="V9" s="6"/>
      <c r="AB9" s="6"/>
      <c r="AC9" s="6"/>
      <c r="AI9" s="6"/>
      <c r="AJ9" s="6"/>
      <c r="AP9" s="6"/>
      <c r="AQ9" s="6"/>
      <c r="AW9" s="19" t="e">
        <f t="shared" si="2"/>
        <v>#VALUE!</v>
      </c>
    </row>
    <row r="10" spans="1:49" x14ac:dyDescent="0.3">
      <c r="A10" s="5" t="s">
        <v>23</v>
      </c>
      <c r="B10" s="20"/>
      <c r="C10" s="20"/>
      <c r="D10" s="20"/>
      <c r="E10" s="21" t="str">
        <f>IFERROR(VLOOKUP(D10,[1]Données!A:B,2,FALSE),"")</f>
        <v/>
      </c>
      <c r="F10" s="22"/>
      <c r="G10" s="23" t="str">
        <f t="shared" si="0"/>
        <v/>
      </c>
      <c r="H10" s="20"/>
      <c r="I10" s="21">
        <f t="shared" si="7"/>
        <v>0</v>
      </c>
      <c r="J10" s="24" t="str">
        <f t="shared" si="1"/>
        <v/>
      </c>
      <c r="K10" s="25"/>
      <c r="L10" s="26" t="str">
        <f t="shared" si="3"/>
        <v/>
      </c>
      <c r="M10" s="27" t="str">
        <f t="shared" si="4"/>
        <v/>
      </c>
      <c r="N10" s="28" t="str">
        <f t="shared" si="5"/>
        <v/>
      </c>
      <c r="O10" s="29" t="str">
        <f t="shared" si="6"/>
        <v/>
      </c>
      <c r="U10" s="6"/>
      <c r="V10" s="6"/>
      <c r="AB10" s="6"/>
      <c r="AC10" s="6"/>
      <c r="AI10" s="6"/>
      <c r="AJ10" s="6"/>
      <c r="AP10" s="6"/>
      <c r="AQ10" s="6"/>
      <c r="AW10" s="19" t="e">
        <f t="shared" si="2"/>
        <v>#VALUE!</v>
      </c>
    </row>
    <row r="11" spans="1:49" x14ac:dyDescent="0.3">
      <c r="A11" s="5" t="s">
        <v>23</v>
      </c>
      <c r="B11" s="20"/>
      <c r="C11" s="20"/>
      <c r="D11" s="20"/>
      <c r="E11" s="21" t="str">
        <f>IFERROR(VLOOKUP(D11,[1]Données!A:B,2,FALSE),"")</f>
        <v/>
      </c>
      <c r="F11" s="22"/>
      <c r="G11" s="23" t="str">
        <f t="shared" si="0"/>
        <v/>
      </c>
      <c r="H11" s="20"/>
      <c r="I11" s="21">
        <f t="shared" si="7"/>
        <v>0</v>
      </c>
      <c r="J11" s="24" t="str">
        <f t="shared" si="1"/>
        <v/>
      </c>
      <c r="K11" s="25"/>
      <c r="L11" s="26" t="str">
        <f t="shared" si="3"/>
        <v/>
      </c>
      <c r="M11" s="27" t="str">
        <f t="shared" si="4"/>
        <v/>
      </c>
      <c r="N11" s="28" t="str">
        <f t="shared" si="5"/>
        <v/>
      </c>
      <c r="O11" s="29" t="str">
        <f t="shared" si="6"/>
        <v/>
      </c>
      <c r="U11" s="6"/>
      <c r="V11" s="6"/>
      <c r="AB11" s="6"/>
      <c r="AC11" s="6"/>
      <c r="AI11" s="6"/>
      <c r="AJ11" s="6"/>
      <c r="AP11" s="6"/>
      <c r="AQ11" s="6"/>
      <c r="AW11" s="19" t="e">
        <f t="shared" si="2"/>
        <v>#VALUE!</v>
      </c>
    </row>
    <row r="12" spans="1:49" x14ac:dyDescent="0.3">
      <c r="A12" s="5" t="s">
        <v>23</v>
      </c>
      <c r="B12" s="20"/>
      <c r="C12" s="20"/>
      <c r="D12" s="20"/>
      <c r="E12" s="21" t="str">
        <f>IFERROR(VLOOKUP(D12,[1]Données!A:B,2,FALSE),"")</f>
        <v/>
      </c>
      <c r="F12" s="22"/>
      <c r="G12" s="23" t="str">
        <f t="shared" si="0"/>
        <v/>
      </c>
      <c r="H12" s="20"/>
      <c r="I12" s="21">
        <f t="shared" si="7"/>
        <v>0</v>
      </c>
      <c r="J12" s="24" t="str">
        <f t="shared" si="1"/>
        <v/>
      </c>
      <c r="K12" s="25"/>
      <c r="L12" s="26" t="str">
        <f t="shared" si="3"/>
        <v/>
      </c>
      <c r="M12" s="27" t="str">
        <f t="shared" si="4"/>
        <v/>
      </c>
      <c r="N12" s="28" t="str">
        <f t="shared" si="5"/>
        <v/>
      </c>
      <c r="O12" s="29" t="str">
        <f t="shared" si="6"/>
        <v/>
      </c>
      <c r="U12" s="6"/>
      <c r="V12" s="6"/>
      <c r="AB12" s="6"/>
      <c r="AC12" s="6"/>
      <c r="AI12" s="6"/>
      <c r="AJ12" s="6"/>
      <c r="AP12" s="6"/>
      <c r="AQ12" s="6"/>
      <c r="AW12" s="19" t="e">
        <f t="shared" si="2"/>
        <v>#VALUE!</v>
      </c>
    </row>
    <row r="13" spans="1:49" x14ac:dyDescent="0.3">
      <c r="A13" s="5" t="s">
        <v>23</v>
      </c>
      <c r="B13" s="20"/>
      <c r="C13" s="20"/>
      <c r="D13" s="20"/>
      <c r="E13" s="21" t="str">
        <f>IFERROR(VLOOKUP(D13,[1]Données!A:B,2,FALSE),"")</f>
        <v/>
      </c>
      <c r="F13" s="22"/>
      <c r="G13" s="23" t="str">
        <f t="shared" si="0"/>
        <v/>
      </c>
      <c r="H13" s="20"/>
      <c r="I13" s="21">
        <f t="shared" si="7"/>
        <v>0</v>
      </c>
      <c r="J13" s="24" t="str">
        <f t="shared" si="1"/>
        <v/>
      </c>
      <c r="K13" s="25"/>
      <c r="L13" s="26" t="str">
        <f t="shared" si="3"/>
        <v/>
      </c>
      <c r="M13" s="27" t="str">
        <f t="shared" si="4"/>
        <v/>
      </c>
      <c r="N13" s="28" t="str">
        <f t="shared" si="5"/>
        <v/>
      </c>
      <c r="O13" s="29" t="str">
        <f t="shared" si="6"/>
        <v/>
      </c>
      <c r="U13" s="6"/>
      <c r="V13" s="6"/>
      <c r="AB13" s="6"/>
      <c r="AC13" s="6"/>
      <c r="AI13" s="6"/>
      <c r="AJ13" s="6"/>
      <c r="AP13" s="6"/>
      <c r="AQ13" s="6"/>
      <c r="AW13" s="19" t="e">
        <f t="shared" si="2"/>
        <v>#VALUE!</v>
      </c>
    </row>
    <row r="14" spans="1:49" x14ac:dyDescent="0.3">
      <c r="A14" s="5" t="s">
        <v>23</v>
      </c>
      <c r="B14" s="20"/>
      <c r="C14" s="20"/>
      <c r="D14" s="20"/>
      <c r="E14" s="21" t="str">
        <f>IFERROR(VLOOKUP(D14,[1]Données!A:B,2,FALSE),"")</f>
        <v/>
      </c>
      <c r="F14" s="22"/>
      <c r="G14" s="23"/>
      <c r="H14" s="20"/>
      <c r="I14" s="21">
        <v>0</v>
      </c>
      <c r="J14" s="24" t="str">
        <f t="shared" si="1"/>
        <v/>
      </c>
      <c r="K14" s="25"/>
      <c r="L14" s="26">
        <f>IFERROR((K14*1.25)*G14,"")</f>
        <v>0</v>
      </c>
      <c r="M14" s="27" t="str">
        <f t="shared" si="4"/>
        <v/>
      </c>
      <c r="N14" s="28" t="str">
        <f t="shared" si="5"/>
        <v/>
      </c>
      <c r="O14" s="29" t="str">
        <f t="shared" si="6"/>
        <v/>
      </c>
      <c r="U14" s="6"/>
      <c r="V14" s="6"/>
      <c r="AB14" s="6"/>
      <c r="AC14" s="6"/>
      <c r="AI14" s="6"/>
      <c r="AJ14" s="6"/>
      <c r="AP14" s="6"/>
      <c r="AQ14" s="6"/>
      <c r="AW14" s="19" t="e">
        <f t="shared" si="2"/>
        <v>#VALUE!</v>
      </c>
    </row>
    <row r="15" spans="1:49" x14ac:dyDescent="0.3">
      <c r="A15" s="5" t="s">
        <v>23</v>
      </c>
      <c r="B15" s="20"/>
      <c r="C15" s="20"/>
      <c r="D15" s="20"/>
      <c r="E15" s="21" t="str">
        <f>IFERROR(VLOOKUP(D15,[1]Données!A:B,2,FALSE),"")</f>
        <v/>
      </c>
      <c r="F15" s="22"/>
      <c r="G15" s="23" t="str">
        <f t="shared" si="0"/>
        <v/>
      </c>
      <c r="H15" s="20"/>
      <c r="I15" s="21">
        <f t="shared" si="7"/>
        <v>0</v>
      </c>
      <c r="J15" s="24" t="str">
        <f t="shared" si="1"/>
        <v/>
      </c>
      <c r="K15" s="25"/>
      <c r="L15" s="26" t="str">
        <f t="shared" ref="L15:L21" si="8">IFERROR((K15*1.25)*G15,"")</f>
        <v/>
      </c>
      <c r="M15" s="27" t="str">
        <f t="shared" si="4"/>
        <v/>
      </c>
      <c r="N15" s="28" t="str">
        <f t="shared" si="5"/>
        <v/>
      </c>
      <c r="O15" s="29" t="str">
        <f t="shared" si="6"/>
        <v/>
      </c>
      <c r="U15" s="6"/>
      <c r="V15" s="6"/>
      <c r="AB15" s="6"/>
      <c r="AC15" s="6"/>
      <c r="AI15" s="6"/>
      <c r="AJ15" s="6"/>
      <c r="AP15" s="6"/>
      <c r="AQ15" s="6"/>
      <c r="AW15" s="19" t="e">
        <f t="shared" si="2"/>
        <v>#VALUE!</v>
      </c>
    </row>
    <row r="16" spans="1:49" x14ac:dyDescent="0.3">
      <c r="A16" s="5" t="s">
        <v>23</v>
      </c>
      <c r="B16" s="20"/>
      <c r="C16" s="20"/>
      <c r="D16" s="20"/>
      <c r="E16" s="21" t="str">
        <f>IFERROR(VLOOKUP(D16,[1]Données!A:B,2,FALSE),"")</f>
        <v/>
      </c>
      <c r="F16" s="22"/>
      <c r="G16" s="23" t="str">
        <f t="shared" si="0"/>
        <v/>
      </c>
      <c r="H16" s="20"/>
      <c r="I16" s="21">
        <f t="shared" si="7"/>
        <v>0</v>
      </c>
      <c r="J16" s="24" t="str">
        <f t="shared" si="1"/>
        <v/>
      </c>
      <c r="K16" s="25"/>
      <c r="L16" s="26" t="str">
        <f t="shared" si="8"/>
        <v/>
      </c>
      <c r="M16" s="27" t="str">
        <f t="shared" si="4"/>
        <v/>
      </c>
      <c r="N16" s="28" t="str">
        <f t="shared" si="5"/>
        <v/>
      </c>
      <c r="O16" s="29" t="str">
        <f t="shared" si="6"/>
        <v/>
      </c>
      <c r="U16" s="6"/>
      <c r="V16" s="6"/>
      <c r="AB16" s="6"/>
      <c r="AC16" s="6"/>
      <c r="AI16" s="6"/>
      <c r="AJ16" s="6"/>
      <c r="AP16" s="6"/>
      <c r="AQ16" s="6"/>
      <c r="AW16" s="19" t="e">
        <f t="shared" si="2"/>
        <v>#VALUE!</v>
      </c>
    </row>
    <row r="17" spans="1:49" x14ac:dyDescent="0.3">
      <c r="A17" s="5" t="s">
        <v>23</v>
      </c>
      <c r="B17" s="20"/>
      <c r="C17" s="20"/>
      <c r="D17" s="20"/>
      <c r="E17" s="21" t="str">
        <f>IFERROR(VLOOKUP(D17,[1]Données!A:B,2,FALSE),"")</f>
        <v/>
      </c>
      <c r="F17" s="22"/>
      <c r="G17" s="23" t="str">
        <f t="shared" si="0"/>
        <v/>
      </c>
      <c r="H17" s="20"/>
      <c r="I17" s="21">
        <f t="shared" si="7"/>
        <v>0</v>
      </c>
      <c r="J17" s="24" t="str">
        <f t="shared" si="1"/>
        <v/>
      </c>
      <c r="K17" s="25"/>
      <c r="L17" s="26" t="str">
        <f t="shared" si="8"/>
        <v/>
      </c>
      <c r="M17" s="27" t="str">
        <f t="shared" si="4"/>
        <v/>
      </c>
      <c r="N17" s="28" t="str">
        <f t="shared" si="5"/>
        <v/>
      </c>
      <c r="O17" s="29" t="str">
        <f t="shared" si="6"/>
        <v/>
      </c>
      <c r="U17" s="6"/>
      <c r="V17" s="6"/>
      <c r="AB17" s="6"/>
      <c r="AC17" s="6"/>
      <c r="AI17" s="6"/>
      <c r="AJ17" s="6"/>
      <c r="AP17" s="6"/>
      <c r="AQ17" s="6"/>
      <c r="AW17" s="19" t="e">
        <f t="shared" si="2"/>
        <v>#VALUE!</v>
      </c>
    </row>
    <row r="18" spans="1:49" x14ac:dyDescent="0.3">
      <c r="A18" s="5" t="s">
        <v>23</v>
      </c>
      <c r="B18" s="20"/>
      <c r="C18" s="20"/>
      <c r="D18" s="20"/>
      <c r="E18" s="21" t="str">
        <f>IFERROR(VLOOKUP(D18,[1]Données!A:B,2,FALSE),"")</f>
        <v/>
      </c>
      <c r="F18" s="22"/>
      <c r="G18" s="23" t="str">
        <f t="shared" si="0"/>
        <v/>
      </c>
      <c r="H18" s="20"/>
      <c r="I18" s="21">
        <f t="shared" si="7"/>
        <v>0</v>
      </c>
      <c r="J18" s="24" t="str">
        <f t="shared" si="1"/>
        <v/>
      </c>
      <c r="K18" s="25"/>
      <c r="L18" s="26" t="str">
        <f t="shared" si="8"/>
        <v/>
      </c>
      <c r="M18" s="27" t="str">
        <f t="shared" si="4"/>
        <v/>
      </c>
      <c r="N18" s="28" t="str">
        <f t="shared" si="5"/>
        <v/>
      </c>
      <c r="O18" s="29" t="str">
        <f t="shared" si="6"/>
        <v/>
      </c>
      <c r="U18" s="6"/>
      <c r="V18" s="6"/>
      <c r="AB18" s="6"/>
      <c r="AC18" s="6"/>
      <c r="AI18" s="6"/>
      <c r="AJ18" s="6"/>
      <c r="AP18" s="6"/>
      <c r="AQ18" s="6"/>
      <c r="AW18" s="19" t="e">
        <f t="shared" si="2"/>
        <v>#VALUE!</v>
      </c>
    </row>
    <row r="19" spans="1:49" x14ac:dyDescent="0.3">
      <c r="A19" s="5" t="s">
        <v>23</v>
      </c>
      <c r="B19" s="20"/>
      <c r="C19" s="20"/>
      <c r="D19" s="20"/>
      <c r="E19" s="21" t="str">
        <f>IFERROR(VLOOKUP(D19,[1]Données!A:B,2,FALSE),"")</f>
        <v/>
      </c>
      <c r="F19" s="22"/>
      <c r="G19" s="23" t="str">
        <f>IFERROR(F19/H19,"")</f>
        <v/>
      </c>
      <c r="H19" s="20"/>
      <c r="I19" s="21">
        <f>SUM(P19:AT19)</f>
        <v>0</v>
      </c>
      <c r="J19" s="24" t="str">
        <f>IFERROR(I19/H19,"")</f>
        <v/>
      </c>
      <c r="K19" s="25"/>
      <c r="L19" s="26" t="str">
        <f t="shared" si="8"/>
        <v/>
      </c>
      <c r="M19" s="27" t="str">
        <f t="shared" si="4"/>
        <v/>
      </c>
      <c r="N19" s="30" t="str">
        <f t="shared" si="5"/>
        <v/>
      </c>
      <c r="O19" s="29" t="str">
        <f t="shared" si="6"/>
        <v/>
      </c>
      <c r="U19" s="6"/>
      <c r="V19" s="6"/>
      <c r="AB19" s="6"/>
      <c r="AC19" s="6"/>
      <c r="AI19" s="6"/>
      <c r="AJ19" s="6"/>
      <c r="AP19" s="6"/>
      <c r="AQ19" s="6"/>
      <c r="AW19" s="19" t="e">
        <f t="shared" si="2"/>
        <v>#VALUE!</v>
      </c>
    </row>
    <row r="20" spans="1:49" x14ac:dyDescent="0.3">
      <c r="A20" s="5" t="s">
        <v>23</v>
      </c>
      <c r="B20" s="20"/>
      <c r="C20" s="20"/>
      <c r="D20" s="20"/>
      <c r="E20" s="21" t="str">
        <f>IFERROR(VLOOKUP(D20,[1]Données!A:B,2,FALSE),"")</f>
        <v/>
      </c>
      <c r="F20" s="22"/>
      <c r="G20" s="23" t="str">
        <f t="shared" si="0"/>
        <v/>
      </c>
      <c r="H20" s="20"/>
      <c r="I20" s="21">
        <f t="shared" si="7"/>
        <v>0</v>
      </c>
      <c r="J20" s="24" t="str">
        <f t="shared" si="1"/>
        <v/>
      </c>
      <c r="K20" s="25"/>
      <c r="L20" s="26" t="str">
        <f t="shared" si="8"/>
        <v/>
      </c>
      <c r="M20" s="27" t="str">
        <f t="shared" si="4"/>
        <v/>
      </c>
      <c r="N20" s="30" t="str">
        <f t="shared" si="5"/>
        <v/>
      </c>
      <c r="O20" s="29" t="str">
        <f t="shared" si="6"/>
        <v/>
      </c>
      <c r="U20" s="6"/>
      <c r="V20" s="6"/>
      <c r="AB20" s="6"/>
      <c r="AC20" s="6"/>
      <c r="AI20" s="6"/>
      <c r="AJ20" s="6"/>
      <c r="AP20" s="6"/>
      <c r="AQ20" s="6"/>
      <c r="AW20" s="19" t="e">
        <f t="shared" si="2"/>
        <v>#VALUE!</v>
      </c>
    </row>
    <row r="21" spans="1:49" x14ac:dyDescent="0.3">
      <c r="A21" s="5" t="s">
        <v>23</v>
      </c>
      <c r="B21" s="20"/>
      <c r="C21" s="20"/>
      <c r="D21" s="20"/>
      <c r="E21" s="21" t="str">
        <f>IFERROR(VLOOKUP(D21,[1]Données!A:B,2,FALSE),"")</f>
        <v/>
      </c>
      <c r="F21" s="22"/>
      <c r="G21" s="23" t="str">
        <f t="shared" si="0"/>
        <v/>
      </c>
      <c r="H21" s="20"/>
      <c r="I21" s="21">
        <f t="shared" si="7"/>
        <v>0</v>
      </c>
      <c r="J21" s="24" t="str">
        <f t="shared" si="1"/>
        <v/>
      </c>
      <c r="K21" s="25"/>
      <c r="L21" s="26" t="str">
        <f t="shared" si="8"/>
        <v/>
      </c>
      <c r="M21" s="27" t="str">
        <f t="shared" si="4"/>
        <v/>
      </c>
      <c r="N21" s="30" t="str">
        <f t="shared" si="5"/>
        <v/>
      </c>
      <c r="O21" s="29" t="str">
        <f t="shared" si="6"/>
        <v/>
      </c>
      <c r="U21" s="6"/>
      <c r="V21" s="6"/>
      <c r="AB21" s="6"/>
      <c r="AC21" s="6"/>
      <c r="AI21" s="6"/>
      <c r="AJ21" s="6"/>
      <c r="AP21" s="6"/>
      <c r="AQ21" s="6"/>
      <c r="AW21" s="19" t="e">
        <f t="shared" si="2"/>
        <v>#VALUE!</v>
      </c>
    </row>
    <row r="22" spans="1:49" ht="21" x14ac:dyDescent="0.4">
      <c r="A22" s="44" t="s">
        <v>24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3"/>
      <c r="V22" s="43"/>
      <c r="W22" s="44"/>
      <c r="X22" s="44"/>
      <c r="Y22" s="44"/>
      <c r="Z22" s="44"/>
      <c r="AA22" s="44"/>
      <c r="AB22" s="43"/>
      <c r="AC22" s="43"/>
      <c r="AD22" s="44"/>
      <c r="AE22" s="44"/>
      <c r="AF22" s="44"/>
      <c r="AG22" s="44"/>
      <c r="AH22" s="44"/>
      <c r="AI22" s="43"/>
      <c r="AJ22" s="43"/>
      <c r="AK22" s="44"/>
      <c r="AL22" s="44"/>
      <c r="AM22" s="44"/>
      <c r="AN22" s="44"/>
      <c r="AO22" s="44"/>
      <c r="AP22" s="43"/>
      <c r="AQ22" s="43"/>
      <c r="AR22" s="44"/>
      <c r="AS22" s="44"/>
      <c r="AT22" s="44"/>
    </row>
    <row r="23" spans="1:49" x14ac:dyDescent="0.3">
      <c r="A23" s="5" t="s">
        <v>23</v>
      </c>
      <c r="B23" s="20"/>
      <c r="C23" s="20"/>
      <c r="D23" s="20"/>
      <c r="E23" s="21" t="str">
        <f>IFERROR(VLOOKUP(D23,[1]Données!A:B,2,FALSE),"")</f>
        <v/>
      </c>
      <c r="F23" s="23">
        <f>G23*H23</f>
        <v>0</v>
      </c>
      <c r="G23" s="22"/>
      <c r="H23" s="20"/>
      <c r="I23" s="21">
        <f t="shared" si="7"/>
        <v>0</v>
      </c>
      <c r="J23" s="24" t="str">
        <f t="shared" si="1"/>
        <v/>
      </c>
      <c r="K23" s="25"/>
      <c r="L23" s="26">
        <f>IFERROR((K23*1.25)*G23,"")</f>
        <v>0</v>
      </c>
      <c r="M23" s="27" t="str">
        <f t="shared" ref="M23:M75" si="9">IF($E23="Méca",I23*G23+L23,"")</f>
        <v/>
      </c>
      <c r="N23" s="28" t="str">
        <f t="shared" ref="N23:N75" si="10">IF($E23="Calcul",I23*G23+L23,"")</f>
        <v/>
      </c>
      <c r="O23" s="29" t="str">
        <f t="shared" ref="O23:O75" si="11">IF($E23="Elec",I23*G23+L23,"")</f>
        <v/>
      </c>
      <c r="U23" s="6"/>
      <c r="V23" s="6"/>
      <c r="AB23" s="6"/>
      <c r="AC23" s="6"/>
      <c r="AI23" s="6"/>
      <c r="AJ23" s="6"/>
      <c r="AP23" s="6"/>
      <c r="AQ23" s="6"/>
      <c r="AW23" s="19">
        <f>AV23-I23</f>
        <v>0</v>
      </c>
    </row>
    <row r="24" spans="1:49" x14ac:dyDescent="0.3">
      <c r="A24" s="5" t="s">
        <v>23</v>
      </c>
      <c r="B24" s="20"/>
      <c r="C24" s="20"/>
      <c r="D24" s="20"/>
      <c r="E24" s="21" t="str">
        <f>IFERROR(VLOOKUP(D24,[1]Données!A:B,2,FALSE),"")</f>
        <v/>
      </c>
      <c r="F24" s="23">
        <f t="shared" ref="F24:F75" si="12">G24*H24</f>
        <v>0</v>
      </c>
      <c r="G24" s="22"/>
      <c r="H24" s="20"/>
      <c r="I24" s="21">
        <f t="shared" si="7"/>
        <v>0</v>
      </c>
      <c r="J24" s="24" t="str">
        <f t="shared" si="1"/>
        <v/>
      </c>
      <c r="K24" s="25"/>
      <c r="L24" s="26">
        <f t="shared" ref="L24:L37" si="13">IFERROR((K24*1.25)*G24,"")</f>
        <v>0</v>
      </c>
      <c r="M24" s="27" t="str">
        <f t="shared" si="9"/>
        <v/>
      </c>
      <c r="N24" s="28" t="str">
        <f t="shared" si="10"/>
        <v/>
      </c>
      <c r="O24" s="29" t="str">
        <f t="shared" si="11"/>
        <v/>
      </c>
      <c r="U24" s="6"/>
      <c r="V24" s="6"/>
      <c r="AB24" s="6"/>
      <c r="AC24" s="6"/>
      <c r="AI24" s="6"/>
      <c r="AJ24" s="6"/>
      <c r="AP24" s="6"/>
      <c r="AQ24" s="6"/>
      <c r="AW24" s="19">
        <f t="shared" ref="AW24:AW37" si="14">AV24-I24</f>
        <v>0</v>
      </c>
    </row>
    <row r="25" spans="1:49" x14ac:dyDescent="0.3">
      <c r="A25" s="5" t="s">
        <v>23</v>
      </c>
      <c r="B25" s="20"/>
      <c r="C25" s="20"/>
      <c r="D25" s="20"/>
      <c r="E25" s="21" t="str">
        <f>IFERROR(VLOOKUP(D25,[1]Données!A:B,2,FALSE),"")</f>
        <v/>
      </c>
      <c r="F25" s="23">
        <f t="shared" si="12"/>
        <v>0</v>
      </c>
      <c r="G25" s="22"/>
      <c r="H25" s="20"/>
      <c r="I25" s="21">
        <f t="shared" si="7"/>
        <v>0</v>
      </c>
      <c r="J25" s="24" t="str">
        <f t="shared" si="1"/>
        <v/>
      </c>
      <c r="K25" s="25"/>
      <c r="L25" s="26">
        <f>IFERROR((K25*1.25)*G25,"")</f>
        <v>0</v>
      </c>
      <c r="M25" s="27" t="str">
        <f t="shared" si="9"/>
        <v/>
      </c>
      <c r="N25" s="28" t="str">
        <f t="shared" si="10"/>
        <v/>
      </c>
      <c r="O25" s="29" t="str">
        <f t="shared" si="11"/>
        <v/>
      </c>
      <c r="U25" s="6"/>
      <c r="V25" s="6"/>
      <c r="AB25" s="6"/>
      <c r="AC25" s="6"/>
      <c r="AI25" s="6"/>
      <c r="AJ25" s="6"/>
      <c r="AP25" s="6"/>
      <c r="AQ25" s="6"/>
      <c r="AW25" s="19">
        <f t="shared" si="14"/>
        <v>0</v>
      </c>
    </row>
    <row r="26" spans="1:49" x14ac:dyDescent="0.3">
      <c r="A26" s="5" t="s">
        <v>23</v>
      </c>
      <c r="B26" s="20"/>
      <c r="C26" s="20"/>
      <c r="D26" s="20"/>
      <c r="E26" s="21" t="str">
        <f>IFERROR(VLOOKUP(D26,[1]Données!A:B,2,FALSE),"")</f>
        <v/>
      </c>
      <c r="F26" s="23">
        <f t="shared" si="12"/>
        <v>0</v>
      </c>
      <c r="G26" s="22"/>
      <c r="H26" s="20"/>
      <c r="I26" s="21">
        <f t="shared" si="7"/>
        <v>0</v>
      </c>
      <c r="J26" s="24" t="str">
        <f t="shared" si="1"/>
        <v/>
      </c>
      <c r="K26" s="25"/>
      <c r="L26" s="26">
        <f t="shared" si="13"/>
        <v>0</v>
      </c>
      <c r="M26" s="27" t="str">
        <f t="shared" si="9"/>
        <v/>
      </c>
      <c r="N26" s="28" t="str">
        <f t="shared" si="10"/>
        <v/>
      </c>
      <c r="O26" s="29" t="str">
        <f t="shared" si="11"/>
        <v/>
      </c>
      <c r="U26" s="6"/>
      <c r="V26" s="6"/>
      <c r="AB26" s="6"/>
      <c r="AC26" s="6"/>
      <c r="AI26" s="6"/>
      <c r="AJ26" s="6"/>
      <c r="AP26" s="6"/>
      <c r="AQ26" s="6"/>
      <c r="AW26" s="19">
        <f t="shared" si="14"/>
        <v>0</v>
      </c>
    </row>
    <row r="27" spans="1:49" x14ac:dyDescent="0.3">
      <c r="A27" s="5" t="s">
        <v>23</v>
      </c>
      <c r="B27" s="20"/>
      <c r="C27" s="20"/>
      <c r="D27" s="20"/>
      <c r="E27" s="21" t="str">
        <f>IFERROR(VLOOKUP(D27,[1]Données!A:B,2,FALSE),"")</f>
        <v/>
      </c>
      <c r="F27" s="23">
        <f t="shared" si="12"/>
        <v>0</v>
      </c>
      <c r="G27" s="22"/>
      <c r="H27" s="20"/>
      <c r="I27" s="21">
        <f t="shared" si="7"/>
        <v>0</v>
      </c>
      <c r="J27" s="24" t="str">
        <f t="shared" si="1"/>
        <v/>
      </c>
      <c r="K27" s="25"/>
      <c r="L27" s="26">
        <f t="shared" si="13"/>
        <v>0</v>
      </c>
      <c r="M27" s="27" t="str">
        <f t="shared" si="9"/>
        <v/>
      </c>
      <c r="N27" s="28" t="str">
        <f t="shared" si="10"/>
        <v/>
      </c>
      <c r="O27" s="29" t="str">
        <f t="shared" si="11"/>
        <v/>
      </c>
      <c r="U27" s="6"/>
      <c r="V27" s="6"/>
      <c r="AB27" s="6"/>
      <c r="AC27" s="6"/>
      <c r="AI27" s="6"/>
      <c r="AJ27" s="6"/>
      <c r="AP27" s="6"/>
      <c r="AQ27" s="6"/>
      <c r="AW27" s="19">
        <f t="shared" si="14"/>
        <v>0</v>
      </c>
    </row>
    <row r="28" spans="1:49" x14ac:dyDescent="0.3">
      <c r="A28" s="5" t="s">
        <v>23</v>
      </c>
      <c r="B28" s="20"/>
      <c r="C28" s="20"/>
      <c r="D28" s="20"/>
      <c r="E28" s="21" t="str">
        <f>IFERROR(VLOOKUP(D28,[1]Données!A:B,2,FALSE),"")</f>
        <v/>
      </c>
      <c r="F28" s="23">
        <f t="shared" si="12"/>
        <v>0</v>
      </c>
      <c r="G28" s="22"/>
      <c r="H28" s="20"/>
      <c r="I28" s="21">
        <f t="shared" si="7"/>
        <v>0</v>
      </c>
      <c r="J28" s="24" t="str">
        <f t="shared" si="1"/>
        <v/>
      </c>
      <c r="K28" s="25"/>
      <c r="L28" s="26">
        <f t="shared" si="13"/>
        <v>0</v>
      </c>
      <c r="M28" s="27" t="str">
        <f t="shared" si="9"/>
        <v/>
      </c>
      <c r="N28" s="28" t="str">
        <f t="shared" si="10"/>
        <v/>
      </c>
      <c r="O28" s="29" t="str">
        <f t="shared" si="11"/>
        <v/>
      </c>
      <c r="U28" s="6"/>
      <c r="V28" s="6"/>
      <c r="AB28" s="6"/>
      <c r="AC28" s="6"/>
      <c r="AI28" s="6"/>
      <c r="AJ28" s="6"/>
      <c r="AP28" s="6"/>
      <c r="AQ28" s="6"/>
      <c r="AW28" s="19">
        <f t="shared" si="14"/>
        <v>0</v>
      </c>
    </row>
    <row r="29" spans="1:49" x14ac:dyDescent="0.3">
      <c r="A29" s="5" t="s">
        <v>23</v>
      </c>
      <c r="B29" s="20"/>
      <c r="C29" s="20"/>
      <c r="D29" s="20"/>
      <c r="E29" s="21" t="str">
        <f>IFERROR(VLOOKUP(D29,[1]Données!A:B,2,FALSE),"")</f>
        <v/>
      </c>
      <c r="F29" s="23">
        <f t="shared" si="12"/>
        <v>0</v>
      </c>
      <c r="G29" s="22"/>
      <c r="H29" s="20"/>
      <c r="I29" s="21">
        <f t="shared" si="7"/>
        <v>0</v>
      </c>
      <c r="J29" s="24" t="str">
        <f t="shared" si="1"/>
        <v/>
      </c>
      <c r="K29" s="25"/>
      <c r="L29" s="26">
        <f t="shared" si="13"/>
        <v>0</v>
      </c>
      <c r="M29" s="27" t="str">
        <f t="shared" si="9"/>
        <v/>
      </c>
      <c r="N29" s="28" t="str">
        <f t="shared" si="10"/>
        <v/>
      </c>
      <c r="O29" s="29" t="str">
        <f t="shared" si="11"/>
        <v/>
      </c>
      <c r="U29" s="6"/>
      <c r="V29" s="6"/>
      <c r="AB29" s="6"/>
      <c r="AC29" s="6"/>
      <c r="AI29" s="6"/>
      <c r="AJ29" s="6"/>
      <c r="AP29" s="6"/>
      <c r="AQ29" s="6"/>
      <c r="AW29" s="19">
        <f t="shared" si="14"/>
        <v>0</v>
      </c>
    </row>
    <row r="30" spans="1:49" x14ac:dyDescent="0.3">
      <c r="A30" s="5" t="s">
        <v>23</v>
      </c>
      <c r="B30" s="20"/>
      <c r="C30" s="20"/>
      <c r="D30" s="20"/>
      <c r="E30" s="21" t="str">
        <f>IFERROR(VLOOKUP(D30,[1]Données!A:B,2,FALSE),"")</f>
        <v/>
      </c>
      <c r="F30" s="23">
        <f t="shared" si="12"/>
        <v>0</v>
      </c>
      <c r="G30" s="22"/>
      <c r="H30" s="20"/>
      <c r="I30" s="21">
        <f t="shared" si="7"/>
        <v>0</v>
      </c>
      <c r="J30" s="24" t="str">
        <f t="shared" si="1"/>
        <v/>
      </c>
      <c r="K30" s="25"/>
      <c r="L30" s="26">
        <f t="shared" si="13"/>
        <v>0</v>
      </c>
      <c r="M30" s="27" t="str">
        <f t="shared" si="9"/>
        <v/>
      </c>
      <c r="N30" s="28" t="str">
        <f t="shared" si="10"/>
        <v/>
      </c>
      <c r="O30" s="29" t="str">
        <f t="shared" si="11"/>
        <v/>
      </c>
      <c r="U30" s="6"/>
      <c r="V30" s="6"/>
      <c r="AB30" s="6"/>
      <c r="AC30" s="6"/>
      <c r="AI30" s="6"/>
      <c r="AJ30" s="6"/>
      <c r="AP30" s="6"/>
      <c r="AQ30" s="6"/>
      <c r="AW30" s="19">
        <f t="shared" si="14"/>
        <v>0</v>
      </c>
    </row>
    <row r="31" spans="1:49" x14ac:dyDescent="0.3">
      <c r="A31" s="5" t="s">
        <v>23</v>
      </c>
      <c r="B31" s="20"/>
      <c r="C31" s="20"/>
      <c r="D31" s="20"/>
      <c r="E31" s="21" t="str">
        <f>IFERROR(VLOOKUP(D31,[1]Données!A:B,2,FALSE),"")</f>
        <v/>
      </c>
      <c r="F31" s="23">
        <f t="shared" si="12"/>
        <v>0</v>
      </c>
      <c r="G31" s="22"/>
      <c r="H31" s="20"/>
      <c r="I31" s="21">
        <f t="shared" si="7"/>
        <v>0</v>
      </c>
      <c r="J31" s="24" t="str">
        <f t="shared" si="1"/>
        <v/>
      </c>
      <c r="K31" s="25"/>
      <c r="L31" s="26">
        <f t="shared" si="13"/>
        <v>0</v>
      </c>
      <c r="M31" s="27" t="str">
        <f t="shared" si="9"/>
        <v/>
      </c>
      <c r="N31" s="28" t="str">
        <f t="shared" si="10"/>
        <v/>
      </c>
      <c r="O31" s="29" t="str">
        <f t="shared" si="11"/>
        <v/>
      </c>
      <c r="U31" s="6"/>
      <c r="V31" s="6"/>
      <c r="AB31" s="6"/>
      <c r="AC31" s="6"/>
      <c r="AI31" s="6"/>
      <c r="AJ31" s="6"/>
      <c r="AP31" s="6"/>
      <c r="AQ31" s="6"/>
      <c r="AW31" s="19">
        <f t="shared" si="14"/>
        <v>0</v>
      </c>
    </row>
    <row r="32" spans="1:49" x14ac:dyDescent="0.3">
      <c r="A32" s="5" t="s">
        <v>23</v>
      </c>
      <c r="B32" s="20"/>
      <c r="C32" s="20"/>
      <c r="D32" s="20"/>
      <c r="E32" s="21" t="str">
        <f>IFERROR(VLOOKUP(D32,[1]Données!A:B,2,FALSE),"")</f>
        <v/>
      </c>
      <c r="F32" s="23">
        <f t="shared" si="12"/>
        <v>0</v>
      </c>
      <c r="G32" s="22"/>
      <c r="H32" s="20"/>
      <c r="I32" s="21">
        <f t="shared" si="7"/>
        <v>0</v>
      </c>
      <c r="J32" s="24"/>
      <c r="K32" s="25"/>
      <c r="L32" s="26">
        <f t="shared" si="13"/>
        <v>0</v>
      </c>
      <c r="M32" s="27" t="str">
        <f t="shared" si="9"/>
        <v/>
      </c>
      <c r="N32" s="28" t="str">
        <f t="shared" si="10"/>
        <v/>
      </c>
      <c r="O32" s="29" t="str">
        <f t="shared" si="11"/>
        <v/>
      </c>
      <c r="U32" s="6"/>
      <c r="V32" s="6"/>
      <c r="AB32" s="6"/>
      <c r="AC32" s="6"/>
      <c r="AI32" s="6"/>
      <c r="AJ32" s="6"/>
      <c r="AP32" s="6"/>
      <c r="AQ32" s="6"/>
      <c r="AW32" s="19">
        <f t="shared" si="14"/>
        <v>0</v>
      </c>
    </row>
    <row r="33" spans="1:49" x14ac:dyDescent="0.3">
      <c r="A33" s="5" t="s">
        <v>23</v>
      </c>
      <c r="B33" s="20"/>
      <c r="C33" s="20"/>
      <c r="D33" s="20"/>
      <c r="E33" s="21" t="str">
        <f>IFERROR(VLOOKUP(D33,[1]Données!A:B,2,FALSE),"")</f>
        <v/>
      </c>
      <c r="F33" s="23">
        <f t="shared" si="12"/>
        <v>0</v>
      </c>
      <c r="G33" s="22"/>
      <c r="H33" s="20"/>
      <c r="I33" s="21">
        <f t="shared" si="7"/>
        <v>0</v>
      </c>
      <c r="J33" s="24"/>
      <c r="K33" s="25"/>
      <c r="L33" s="26">
        <f t="shared" si="13"/>
        <v>0</v>
      </c>
      <c r="M33" s="27" t="str">
        <f t="shared" si="9"/>
        <v/>
      </c>
      <c r="N33" s="28" t="str">
        <f t="shared" si="10"/>
        <v/>
      </c>
      <c r="O33" s="29" t="str">
        <f t="shared" si="11"/>
        <v/>
      </c>
      <c r="U33" s="6"/>
      <c r="V33" s="6"/>
      <c r="AB33" s="6"/>
      <c r="AC33" s="6"/>
      <c r="AI33" s="6"/>
      <c r="AJ33" s="6"/>
      <c r="AP33" s="6"/>
      <c r="AQ33" s="6"/>
      <c r="AW33" s="19">
        <f t="shared" si="14"/>
        <v>0</v>
      </c>
    </row>
    <row r="34" spans="1:49" x14ac:dyDescent="0.3">
      <c r="A34" s="5" t="s">
        <v>23</v>
      </c>
      <c r="B34" s="20"/>
      <c r="C34" s="20"/>
      <c r="D34" s="20"/>
      <c r="E34" s="21" t="str">
        <f>IFERROR(VLOOKUP(D34,[1]Données!A:B,2,FALSE),"")</f>
        <v/>
      </c>
      <c r="F34" s="23">
        <f t="shared" si="12"/>
        <v>0</v>
      </c>
      <c r="G34" s="22"/>
      <c r="H34" s="20"/>
      <c r="I34" s="21">
        <f t="shared" si="7"/>
        <v>0</v>
      </c>
      <c r="J34" s="24"/>
      <c r="K34" s="25"/>
      <c r="L34" s="26">
        <f t="shared" si="13"/>
        <v>0</v>
      </c>
      <c r="M34" s="27" t="str">
        <f t="shared" si="9"/>
        <v/>
      </c>
      <c r="N34" s="28" t="str">
        <f t="shared" si="10"/>
        <v/>
      </c>
      <c r="O34" s="29" t="str">
        <f t="shared" si="11"/>
        <v/>
      </c>
      <c r="U34" s="6"/>
      <c r="V34" s="6"/>
      <c r="AB34" s="6"/>
      <c r="AC34" s="6"/>
      <c r="AI34" s="6"/>
      <c r="AJ34" s="6"/>
      <c r="AP34" s="6"/>
      <c r="AQ34" s="6"/>
      <c r="AW34" s="19">
        <f t="shared" si="14"/>
        <v>0</v>
      </c>
    </row>
    <row r="35" spans="1:49" x14ac:dyDescent="0.3">
      <c r="A35" s="5" t="s">
        <v>23</v>
      </c>
      <c r="B35" s="20"/>
      <c r="C35" s="20"/>
      <c r="D35" s="20"/>
      <c r="E35" s="21" t="str">
        <f>IFERROR(VLOOKUP(D35,[1]Données!A:B,2,FALSE),"")</f>
        <v/>
      </c>
      <c r="F35" s="23">
        <f t="shared" si="12"/>
        <v>0</v>
      </c>
      <c r="G35" s="22"/>
      <c r="H35" s="20"/>
      <c r="I35" s="21">
        <f t="shared" si="7"/>
        <v>0</v>
      </c>
      <c r="J35" s="24"/>
      <c r="K35" s="25"/>
      <c r="L35" s="26">
        <f t="shared" si="13"/>
        <v>0</v>
      </c>
      <c r="M35" s="27" t="str">
        <f t="shared" si="9"/>
        <v/>
      </c>
      <c r="N35" s="28" t="str">
        <f t="shared" si="10"/>
        <v/>
      </c>
      <c r="O35" s="29" t="str">
        <f t="shared" si="11"/>
        <v/>
      </c>
      <c r="U35" s="6"/>
      <c r="V35" s="6"/>
      <c r="AB35" s="6"/>
      <c r="AC35" s="6"/>
      <c r="AI35" s="6"/>
      <c r="AJ35" s="6"/>
      <c r="AP35" s="6"/>
      <c r="AQ35" s="6"/>
      <c r="AW35" s="19">
        <f t="shared" si="14"/>
        <v>0</v>
      </c>
    </row>
    <row r="36" spans="1:49" x14ac:dyDescent="0.3">
      <c r="A36" s="5" t="s">
        <v>23</v>
      </c>
      <c r="B36" s="20"/>
      <c r="C36" s="20"/>
      <c r="D36" s="20"/>
      <c r="E36" s="21" t="str">
        <f>IFERROR(VLOOKUP(D36,[1]Données!A:B,2,FALSE),"")</f>
        <v/>
      </c>
      <c r="F36" s="23">
        <f t="shared" si="12"/>
        <v>0</v>
      </c>
      <c r="G36" s="22"/>
      <c r="H36" s="20"/>
      <c r="I36" s="21">
        <f t="shared" si="7"/>
        <v>0</v>
      </c>
      <c r="J36" s="24"/>
      <c r="K36" s="25"/>
      <c r="L36" s="26">
        <f t="shared" si="13"/>
        <v>0</v>
      </c>
      <c r="M36" s="27" t="str">
        <f t="shared" si="9"/>
        <v/>
      </c>
      <c r="N36" s="28" t="str">
        <f t="shared" si="10"/>
        <v/>
      </c>
      <c r="O36" s="29" t="str">
        <f t="shared" si="11"/>
        <v/>
      </c>
      <c r="U36" s="6"/>
      <c r="V36" s="6"/>
      <c r="AB36" s="6"/>
      <c r="AC36" s="6"/>
      <c r="AI36" s="6"/>
      <c r="AJ36" s="6"/>
      <c r="AP36" s="6"/>
      <c r="AQ36" s="6"/>
      <c r="AW36" s="19">
        <f t="shared" si="14"/>
        <v>0</v>
      </c>
    </row>
    <row r="37" spans="1:49" x14ac:dyDescent="0.3">
      <c r="A37" s="5" t="s">
        <v>23</v>
      </c>
      <c r="B37" s="20"/>
      <c r="C37" s="20"/>
      <c r="D37" s="20"/>
      <c r="E37" s="21" t="str">
        <f>IFERROR(VLOOKUP(D37,[1]Données!A:B,2,FALSE),"")</f>
        <v/>
      </c>
      <c r="F37" s="23">
        <f t="shared" si="12"/>
        <v>0</v>
      </c>
      <c r="G37" s="22"/>
      <c r="H37" s="20"/>
      <c r="I37" s="21">
        <f t="shared" si="7"/>
        <v>0</v>
      </c>
      <c r="J37" s="24"/>
      <c r="K37" s="25"/>
      <c r="L37" s="26">
        <f t="shared" si="13"/>
        <v>0</v>
      </c>
      <c r="M37" s="27" t="str">
        <f t="shared" si="9"/>
        <v/>
      </c>
      <c r="N37" s="28" t="str">
        <f t="shared" si="10"/>
        <v/>
      </c>
      <c r="O37" s="29" t="str">
        <f t="shared" si="11"/>
        <v/>
      </c>
      <c r="U37" s="6"/>
      <c r="V37" s="6"/>
      <c r="AB37" s="6"/>
      <c r="AC37" s="6"/>
      <c r="AI37" s="6"/>
      <c r="AJ37" s="6"/>
      <c r="AP37" s="6"/>
      <c r="AQ37" s="6"/>
      <c r="AW37" s="19">
        <f t="shared" si="14"/>
        <v>0</v>
      </c>
    </row>
    <row r="38" spans="1:49" hidden="1" x14ac:dyDescent="0.3">
      <c r="A38" s="5" t="s">
        <v>25</v>
      </c>
      <c r="B38" s="20"/>
      <c r="C38" s="20"/>
      <c r="D38" s="20"/>
      <c r="E38" s="21" t="str">
        <f>IFERROR(VLOOKUP(D38,[1]Données!A:B,2,FALSE),"")</f>
        <v/>
      </c>
      <c r="F38" s="23">
        <f t="shared" si="12"/>
        <v>0</v>
      </c>
      <c r="G38" s="22"/>
      <c r="H38" s="20"/>
      <c r="I38" s="21">
        <f t="shared" si="7"/>
        <v>0</v>
      </c>
      <c r="J38" s="21"/>
      <c r="K38" s="31"/>
      <c r="L38" s="32" t="str">
        <f>IFERROR((K38*1.25)*#REF!,"")</f>
        <v/>
      </c>
      <c r="M38" s="33" t="str">
        <f t="shared" si="9"/>
        <v/>
      </c>
      <c r="N38" s="28" t="str">
        <f t="shared" si="10"/>
        <v/>
      </c>
      <c r="O38" s="29" t="str">
        <f t="shared" si="11"/>
        <v/>
      </c>
      <c r="U38" s="6"/>
      <c r="V38" s="6"/>
      <c r="AB38" s="6"/>
      <c r="AC38" s="6"/>
      <c r="AI38" s="6"/>
      <c r="AJ38" s="6"/>
      <c r="AP38" s="6"/>
      <c r="AQ38" s="6"/>
    </row>
    <row r="39" spans="1:49" hidden="1" x14ac:dyDescent="0.3">
      <c r="A39" s="5" t="s">
        <v>25</v>
      </c>
      <c r="B39" s="20"/>
      <c r="C39" s="20"/>
      <c r="D39" s="20"/>
      <c r="E39" s="21" t="str">
        <f>IFERROR(VLOOKUP(D39,[1]Données!A:B,2,FALSE),"")</f>
        <v/>
      </c>
      <c r="F39" s="23">
        <f t="shared" si="12"/>
        <v>0</v>
      </c>
      <c r="G39" s="22"/>
      <c r="H39" s="20"/>
      <c r="I39" s="21">
        <f t="shared" si="7"/>
        <v>0</v>
      </c>
      <c r="J39" s="21"/>
      <c r="K39" s="31"/>
      <c r="L39" s="32" t="str">
        <f>IFERROR((K39*1.25)*#REF!,"")</f>
        <v/>
      </c>
      <c r="M39" s="33" t="str">
        <f t="shared" si="9"/>
        <v/>
      </c>
      <c r="N39" s="28" t="str">
        <f t="shared" si="10"/>
        <v/>
      </c>
      <c r="O39" s="29" t="str">
        <f t="shared" si="11"/>
        <v/>
      </c>
      <c r="U39" s="6"/>
      <c r="V39" s="6"/>
      <c r="AB39" s="6"/>
      <c r="AC39" s="6"/>
      <c r="AI39" s="6"/>
      <c r="AJ39" s="6"/>
      <c r="AP39" s="6"/>
      <c r="AQ39" s="6"/>
    </row>
    <row r="40" spans="1:49" hidden="1" x14ac:dyDescent="0.3">
      <c r="A40" s="5" t="s">
        <v>25</v>
      </c>
      <c r="B40" s="20"/>
      <c r="C40" s="20"/>
      <c r="D40" s="20"/>
      <c r="E40" s="21" t="str">
        <f>IFERROR(VLOOKUP(D40,[1]Données!A:B,2,FALSE),"")</f>
        <v/>
      </c>
      <c r="F40" s="23">
        <f t="shared" si="12"/>
        <v>0</v>
      </c>
      <c r="G40" s="22"/>
      <c r="H40" s="20"/>
      <c r="I40" s="21">
        <f t="shared" si="7"/>
        <v>0</v>
      </c>
      <c r="J40" s="21"/>
      <c r="K40" s="31"/>
      <c r="L40" s="32" t="str">
        <f>IFERROR((K40*1.25)*#REF!,"")</f>
        <v/>
      </c>
      <c r="M40" s="33" t="str">
        <f t="shared" si="9"/>
        <v/>
      </c>
      <c r="N40" s="28" t="str">
        <f t="shared" si="10"/>
        <v/>
      </c>
      <c r="O40" s="29" t="str">
        <f t="shared" si="11"/>
        <v/>
      </c>
      <c r="U40" s="6"/>
      <c r="V40" s="6"/>
      <c r="AB40" s="6"/>
      <c r="AC40" s="6"/>
      <c r="AI40" s="6"/>
      <c r="AJ40" s="6"/>
      <c r="AP40" s="6"/>
      <c r="AQ40" s="6"/>
    </row>
    <row r="41" spans="1:49" hidden="1" x14ac:dyDescent="0.3">
      <c r="A41" s="5" t="s">
        <v>25</v>
      </c>
      <c r="B41" s="20"/>
      <c r="C41" s="20"/>
      <c r="D41" s="20"/>
      <c r="E41" s="21" t="str">
        <f>IFERROR(VLOOKUP(D41,[1]Données!A:B,2,FALSE),"")</f>
        <v/>
      </c>
      <c r="F41" s="23">
        <f t="shared" si="12"/>
        <v>0</v>
      </c>
      <c r="G41" s="22"/>
      <c r="H41" s="20"/>
      <c r="I41" s="21">
        <f t="shared" si="7"/>
        <v>0</v>
      </c>
      <c r="J41" s="21"/>
      <c r="K41" s="31"/>
      <c r="L41" s="32" t="str">
        <f>IFERROR((K41*1.25)*#REF!,"")</f>
        <v/>
      </c>
      <c r="M41" s="33" t="str">
        <f t="shared" si="9"/>
        <v/>
      </c>
      <c r="N41" s="28" t="str">
        <f t="shared" si="10"/>
        <v/>
      </c>
      <c r="O41" s="29" t="str">
        <f t="shared" si="11"/>
        <v/>
      </c>
      <c r="U41" s="6"/>
      <c r="V41" s="6"/>
      <c r="AB41" s="6"/>
      <c r="AC41" s="6"/>
      <c r="AI41" s="6"/>
      <c r="AJ41" s="6"/>
      <c r="AP41" s="6"/>
      <c r="AQ41" s="6"/>
    </row>
    <row r="42" spans="1:49" hidden="1" x14ac:dyDescent="0.3">
      <c r="A42" s="5" t="s">
        <v>25</v>
      </c>
      <c r="B42" s="20"/>
      <c r="C42" s="20"/>
      <c r="D42" s="20"/>
      <c r="E42" s="21" t="str">
        <f>IFERROR(VLOOKUP(D42,[1]Données!A:B,2,FALSE),"")</f>
        <v/>
      </c>
      <c r="F42" s="23">
        <f t="shared" si="12"/>
        <v>0</v>
      </c>
      <c r="G42" s="22"/>
      <c r="H42" s="20"/>
      <c r="I42" s="21">
        <f t="shared" si="7"/>
        <v>0</v>
      </c>
      <c r="J42" s="21"/>
      <c r="K42" s="31"/>
      <c r="L42" s="32" t="str">
        <f>IFERROR((K42*1.25)*#REF!,"")</f>
        <v/>
      </c>
      <c r="M42" s="33" t="str">
        <f t="shared" si="9"/>
        <v/>
      </c>
      <c r="N42" s="28" t="str">
        <f t="shared" si="10"/>
        <v/>
      </c>
      <c r="O42" s="29" t="str">
        <f t="shared" si="11"/>
        <v/>
      </c>
      <c r="U42" s="6"/>
      <c r="V42" s="6"/>
      <c r="AB42" s="6"/>
      <c r="AC42" s="6"/>
      <c r="AI42" s="6"/>
      <c r="AJ42" s="6"/>
      <c r="AP42" s="6"/>
      <c r="AQ42" s="6"/>
    </row>
    <row r="43" spans="1:49" hidden="1" x14ac:dyDescent="0.3">
      <c r="A43" s="5" t="s">
        <v>25</v>
      </c>
      <c r="B43" s="20"/>
      <c r="C43" s="20"/>
      <c r="D43" s="20"/>
      <c r="E43" s="21" t="str">
        <f>IFERROR(VLOOKUP(D43,[1]Données!A:B,2,FALSE),"")</f>
        <v/>
      </c>
      <c r="F43" s="23">
        <f t="shared" si="12"/>
        <v>0</v>
      </c>
      <c r="G43" s="22"/>
      <c r="H43" s="20"/>
      <c r="I43" s="21">
        <f t="shared" si="7"/>
        <v>0</v>
      </c>
      <c r="J43" s="21"/>
      <c r="K43" s="31"/>
      <c r="L43" s="32" t="str">
        <f>IFERROR((K43*1.25)*#REF!,"")</f>
        <v/>
      </c>
      <c r="M43" s="33" t="str">
        <f t="shared" si="9"/>
        <v/>
      </c>
      <c r="N43" s="28" t="str">
        <f t="shared" si="10"/>
        <v/>
      </c>
      <c r="O43" s="29" t="str">
        <f t="shared" si="11"/>
        <v/>
      </c>
      <c r="U43" s="6"/>
      <c r="V43" s="6"/>
      <c r="AB43" s="6"/>
      <c r="AC43" s="6"/>
      <c r="AI43" s="6"/>
      <c r="AJ43" s="6"/>
      <c r="AP43" s="6"/>
      <c r="AQ43" s="6"/>
    </row>
    <row r="44" spans="1:49" hidden="1" x14ac:dyDescent="0.3">
      <c r="A44" s="5" t="s">
        <v>25</v>
      </c>
      <c r="B44" s="20"/>
      <c r="C44" s="20"/>
      <c r="D44" s="20"/>
      <c r="E44" s="21" t="str">
        <f>IFERROR(VLOOKUP(D44,[1]Données!A:B,2,FALSE),"")</f>
        <v/>
      </c>
      <c r="F44" s="23">
        <f t="shared" si="12"/>
        <v>0</v>
      </c>
      <c r="G44" s="22"/>
      <c r="H44" s="20"/>
      <c r="I44" s="21">
        <f t="shared" si="7"/>
        <v>0</v>
      </c>
      <c r="J44" s="21"/>
      <c r="K44" s="31"/>
      <c r="L44" s="32" t="str">
        <f>IFERROR((K44*1.25)*#REF!,"")</f>
        <v/>
      </c>
      <c r="M44" s="33" t="str">
        <f t="shared" si="9"/>
        <v/>
      </c>
      <c r="N44" s="28" t="str">
        <f t="shared" si="10"/>
        <v/>
      </c>
      <c r="O44" s="29" t="str">
        <f t="shared" si="11"/>
        <v/>
      </c>
      <c r="U44" s="6"/>
      <c r="V44" s="6"/>
      <c r="AB44" s="6"/>
      <c r="AC44" s="6"/>
      <c r="AI44" s="6"/>
      <c r="AJ44" s="6"/>
      <c r="AP44" s="6"/>
      <c r="AQ44" s="6"/>
    </row>
    <row r="45" spans="1:49" hidden="1" x14ac:dyDescent="0.3">
      <c r="A45" s="5" t="s">
        <v>25</v>
      </c>
      <c r="B45" s="20"/>
      <c r="C45" s="20"/>
      <c r="D45" s="20"/>
      <c r="E45" s="21" t="str">
        <f>IFERROR(VLOOKUP(D45,[1]Données!A:B,2,FALSE),"")</f>
        <v/>
      </c>
      <c r="F45" s="23">
        <f t="shared" si="12"/>
        <v>0</v>
      </c>
      <c r="G45" s="22"/>
      <c r="H45" s="20"/>
      <c r="I45" s="21">
        <f t="shared" si="7"/>
        <v>0</v>
      </c>
      <c r="J45" s="21"/>
      <c r="K45" s="31"/>
      <c r="L45" s="32" t="str">
        <f>IFERROR((K45*1.25)*#REF!,"")</f>
        <v/>
      </c>
      <c r="M45" s="33" t="str">
        <f t="shared" si="9"/>
        <v/>
      </c>
      <c r="N45" s="28" t="str">
        <f t="shared" si="10"/>
        <v/>
      </c>
      <c r="O45" s="29" t="str">
        <f t="shared" si="11"/>
        <v/>
      </c>
      <c r="U45" s="6"/>
      <c r="V45" s="6"/>
      <c r="AB45" s="6"/>
      <c r="AC45" s="6"/>
      <c r="AI45" s="6"/>
      <c r="AJ45" s="6"/>
      <c r="AP45" s="6"/>
      <c r="AQ45" s="6"/>
    </row>
    <row r="46" spans="1:49" hidden="1" x14ac:dyDescent="0.3">
      <c r="A46" s="5" t="s">
        <v>25</v>
      </c>
      <c r="B46" s="20"/>
      <c r="C46" s="20"/>
      <c r="D46" s="20"/>
      <c r="E46" s="21" t="str">
        <f>IFERROR(VLOOKUP(D46,[1]Données!A:B,2,FALSE),"")</f>
        <v/>
      </c>
      <c r="F46" s="23">
        <f t="shared" si="12"/>
        <v>0</v>
      </c>
      <c r="G46" s="22"/>
      <c r="H46" s="20"/>
      <c r="I46" s="21">
        <f t="shared" si="7"/>
        <v>0</v>
      </c>
      <c r="J46" s="21"/>
      <c r="K46" s="31"/>
      <c r="L46" s="32" t="str">
        <f>IFERROR((K46*1.25)*#REF!,"")</f>
        <v/>
      </c>
      <c r="M46" s="33" t="str">
        <f t="shared" si="9"/>
        <v/>
      </c>
      <c r="N46" s="28" t="str">
        <f t="shared" si="10"/>
        <v/>
      </c>
      <c r="O46" s="29" t="str">
        <f t="shared" si="11"/>
        <v/>
      </c>
      <c r="U46" s="6"/>
      <c r="V46" s="6"/>
      <c r="AB46" s="6"/>
      <c r="AC46" s="6"/>
      <c r="AI46" s="6"/>
      <c r="AJ46" s="6"/>
      <c r="AP46" s="6"/>
      <c r="AQ46" s="6"/>
    </row>
    <row r="47" spans="1:49" hidden="1" x14ac:dyDescent="0.3">
      <c r="A47" s="5" t="s">
        <v>25</v>
      </c>
      <c r="B47" s="20"/>
      <c r="C47" s="20"/>
      <c r="D47" s="20"/>
      <c r="E47" s="21" t="str">
        <f>IFERROR(VLOOKUP(D47,[1]Données!A:B,2,FALSE),"")</f>
        <v/>
      </c>
      <c r="F47" s="23">
        <f t="shared" si="12"/>
        <v>0</v>
      </c>
      <c r="G47" s="22"/>
      <c r="H47" s="20"/>
      <c r="I47" s="21">
        <f t="shared" si="7"/>
        <v>0</v>
      </c>
      <c r="J47" s="21"/>
      <c r="K47" s="31"/>
      <c r="L47" s="32" t="str">
        <f>IFERROR((K47*1.25)*#REF!,"")</f>
        <v/>
      </c>
      <c r="M47" s="33" t="str">
        <f t="shared" si="9"/>
        <v/>
      </c>
      <c r="N47" s="28" t="str">
        <f t="shared" si="10"/>
        <v/>
      </c>
      <c r="O47" s="29" t="str">
        <f t="shared" si="11"/>
        <v/>
      </c>
      <c r="U47" s="6"/>
      <c r="V47" s="6"/>
      <c r="AB47" s="6"/>
      <c r="AC47" s="6"/>
      <c r="AI47" s="6"/>
      <c r="AJ47" s="6"/>
      <c r="AP47" s="6"/>
      <c r="AQ47" s="6"/>
    </row>
    <row r="48" spans="1:49" hidden="1" x14ac:dyDescent="0.3">
      <c r="A48" s="5" t="s">
        <v>25</v>
      </c>
      <c r="B48" s="20"/>
      <c r="C48" s="20"/>
      <c r="D48" s="20"/>
      <c r="E48" s="21" t="str">
        <f>IFERROR(VLOOKUP(D48,[1]Données!A:B,2,FALSE),"")</f>
        <v/>
      </c>
      <c r="F48" s="23">
        <f t="shared" si="12"/>
        <v>0</v>
      </c>
      <c r="G48" s="22"/>
      <c r="H48" s="20"/>
      <c r="I48" s="21">
        <f t="shared" si="7"/>
        <v>0</v>
      </c>
      <c r="J48" s="21"/>
      <c r="K48" s="31"/>
      <c r="L48" s="32" t="str">
        <f>IFERROR((K48*1.25)*#REF!,"")</f>
        <v/>
      </c>
      <c r="M48" s="33" t="str">
        <f t="shared" si="9"/>
        <v/>
      </c>
      <c r="N48" s="28" t="str">
        <f t="shared" si="10"/>
        <v/>
      </c>
      <c r="O48" s="29" t="str">
        <f t="shared" si="11"/>
        <v/>
      </c>
      <c r="U48" s="6"/>
      <c r="V48" s="6"/>
      <c r="AB48" s="6"/>
      <c r="AC48" s="6"/>
      <c r="AI48" s="6"/>
      <c r="AJ48" s="6"/>
      <c r="AP48" s="6"/>
      <c r="AQ48" s="6"/>
    </row>
    <row r="49" spans="1:43" hidden="1" x14ac:dyDescent="0.3">
      <c r="A49" s="5" t="s">
        <v>25</v>
      </c>
      <c r="B49" s="20"/>
      <c r="C49" s="20"/>
      <c r="D49" s="20"/>
      <c r="E49" s="21" t="str">
        <f>IFERROR(VLOOKUP(D49,[1]Données!A:B,2,FALSE),"")</f>
        <v/>
      </c>
      <c r="F49" s="23">
        <f t="shared" si="12"/>
        <v>0</v>
      </c>
      <c r="G49" s="22"/>
      <c r="H49" s="20"/>
      <c r="I49" s="21">
        <f t="shared" si="7"/>
        <v>0</v>
      </c>
      <c r="J49" s="21"/>
      <c r="K49" s="31"/>
      <c r="L49" s="32" t="str">
        <f>IFERROR((K49*1.25)*#REF!,"")</f>
        <v/>
      </c>
      <c r="M49" s="33" t="str">
        <f t="shared" si="9"/>
        <v/>
      </c>
      <c r="N49" s="28" t="str">
        <f t="shared" si="10"/>
        <v/>
      </c>
      <c r="O49" s="29" t="str">
        <f t="shared" si="11"/>
        <v/>
      </c>
      <c r="U49" s="6"/>
      <c r="V49" s="6"/>
      <c r="AB49" s="6"/>
      <c r="AC49" s="6"/>
      <c r="AI49" s="6"/>
      <c r="AJ49" s="6"/>
      <c r="AP49" s="6"/>
      <c r="AQ49" s="6"/>
    </row>
    <row r="50" spans="1:43" hidden="1" x14ac:dyDescent="0.3">
      <c r="A50" s="5" t="s">
        <v>25</v>
      </c>
      <c r="B50" s="20"/>
      <c r="C50" s="20"/>
      <c r="D50" s="20"/>
      <c r="E50" s="21" t="str">
        <f>IFERROR(VLOOKUP(D50,[1]Données!A:B,2,FALSE),"")</f>
        <v/>
      </c>
      <c r="F50" s="23">
        <f t="shared" si="12"/>
        <v>0</v>
      </c>
      <c r="G50" s="22"/>
      <c r="H50" s="20"/>
      <c r="I50" s="21">
        <f t="shared" si="7"/>
        <v>0</v>
      </c>
      <c r="J50" s="21"/>
      <c r="K50" s="31"/>
      <c r="L50" s="32" t="str">
        <f>IFERROR((K50*1.25)*#REF!,"")</f>
        <v/>
      </c>
      <c r="M50" s="33" t="str">
        <f t="shared" si="9"/>
        <v/>
      </c>
      <c r="N50" s="28" t="str">
        <f t="shared" si="10"/>
        <v/>
      </c>
      <c r="O50" s="29" t="str">
        <f t="shared" si="11"/>
        <v/>
      </c>
      <c r="U50" s="6"/>
      <c r="V50" s="6"/>
      <c r="AB50" s="6"/>
      <c r="AC50" s="6"/>
      <c r="AI50" s="6"/>
      <c r="AJ50" s="6"/>
      <c r="AP50" s="6"/>
      <c r="AQ50" s="6"/>
    </row>
    <row r="51" spans="1:43" hidden="1" x14ac:dyDescent="0.3">
      <c r="A51" s="5" t="s">
        <v>25</v>
      </c>
      <c r="B51" s="20"/>
      <c r="C51" s="20"/>
      <c r="D51" s="20"/>
      <c r="E51" s="21" t="str">
        <f>IFERROR(VLOOKUP(D51,[1]Données!A:B,2,FALSE),"")</f>
        <v/>
      </c>
      <c r="F51" s="23">
        <f t="shared" si="12"/>
        <v>0</v>
      </c>
      <c r="G51" s="22"/>
      <c r="H51" s="20"/>
      <c r="I51" s="21">
        <f t="shared" si="7"/>
        <v>0</v>
      </c>
      <c r="J51" s="21"/>
      <c r="K51" s="31"/>
      <c r="L51" s="32" t="str">
        <f>IFERROR((K51*1.25)*#REF!,"")</f>
        <v/>
      </c>
      <c r="M51" s="33" t="str">
        <f t="shared" si="9"/>
        <v/>
      </c>
      <c r="N51" s="28" t="str">
        <f t="shared" si="10"/>
        <v/>
      </c>
      <c r="O51" s="29" t="str">
        <f t="shared" si="11"/>
        <v/>
      </c>
      <c r="U51" s="6"/>
      <c r="V51" s="6"/>
      <c r="AB51" s="6"/>
      <c r="AC51" s="6"/>
      <c r="AI51" s="6"/>
      <c r="AJ51" s="6"/>
      <c r="AP51" s="6"/>
      <c r="AQ51" s="6"/>
    </row>
    <row r="52" spans="1:43" hidden="1" x14ac:dyDescent="0.3">
      <c r="A52" s="5" t="s">
        <v>25</v>
      </c>
      <c r="B52" s="20"/>
      <c r="C52" s="20"/>
      <c r="D52" s="20"/>
      <c r="E52" s="21" t="str">
        <f>IFERROR(VLOOKUP(D52,[1]Données!A:B,2,FALSE),"")</f>
        <v/>
      </c>
      <c r="F52" s="23">
        <f t="shared" si="12"/>
        <v>0</v>
      </c>
      <c r="G52" s="22"/>
      <c r="H52" s="20"/>
      <c r="I52" s="21">
        <f t="shared" si="7"/>
        <v>0</v>
      </c>
      <c r="J52" s="21"/>
      <c r="K52" s="31"/>
      <c r="L52" s="32" t="str">
        <f>IFERROR((K52*1.25)*#REF!,"")</f>
        <v/>
      </c>
      <c r="M52" s="33" t="str">
        <f t="shared" si="9"/>
        <v/>
      </c>
      <c r="N52" s="28" t="str">
        <f t="shared" si="10"/>
        <v/>
      </c>
      <c r="O52" s="29" t="str">
        <f t="shared" si="11"/>
        <v/>
      </c>
      <c r="U52" s="6"/>
      <c r="V52" s="6"/>
      <c r="AB52" s="6"/>
      <c r="AC52" s="6"/>
      <c r="AI52" s="6"/>
      <c r="AJ52" s="6"/>
      <c r="AP52" s="6"/>
      <c r="AQ52" s="6"/>
    </row>
    <row r="53" spans="1:43" hidden="1" x14ac:dyDescent="0.3">
      <c r="A53" s="5" t="s">
        <v>25</v>
      </c>
      <c r="B53" s="20"/>
      <c r="C53" s="20"/>
      <c r="D53" s="20"/>
      <c r="E53" s="21" t="str">
        <f>IFERROR(VLOOKUP(D53,[1]Données!A:B,2,FALSE),"")</f>
        <v/>
      </c>
      <c r="F53" s="23">
        <f t="shared" si="12"/>
        <v>0</v>
      </c>
      <c r="G53" s="22"/>
      <c r="H53" s="20"/>
      <c r="I53" s="21">
        <f t="shared" si="7"/>
        <v>0</v>
      </c>
      <c r="J53" s="21"/>
      <c r="K53" s="31"/>
      <c r="L53" s="32" t="str">
        <f>IFERROR((K53*1.25)*#REF!,"")</f>
        <v/>
      </c>
      <c r="M53" s="33" t="str">
        <f t="shared" si="9"/>
        <v/>
      </c>
      <c r="N53" s="28" t="str">
        <f t="shared" si="10"/>
        <v/>
      </c>
      <c r="O53" s="29" t="str">
        <f t="shared" si="11"/>
        <v/>
      </c>
      <c r="U53" s="6"/>
      <c r="V53" s="6"/>
      <c r="AB53" s="6"/>
      <c r="AC53" s="6"/>
      <c r="AI53" s="6"/>
      <c r="AJ53" s="6"/>
      <c r="AP53" s="6"/>
      <c r="AQ53" s="6"/>
    </row>
    <row r="54" spans="1:43" hidden="1" x14ac:dyDescent="0.3">
      <c r="A54" s="5" t="s">
        <v>25</v>
      </c>
      <c r="B54" s="20"/>
      <c r="C54" s="20"/>
      <c r="D54" s="20"/>
      <c r="E54" s="21" t="str">
        <f>IFERROR(VLOOKUP(D54,[1]Données!A:B,2,FALSE),"")</f>
        <v/>
      </c>
      <c r="F54" s="23">
        <f t="shared" si="12"/>
        <v>0</v>
      </c>
      <c r="G54" s="22"/>
      <c r="H54" s="20"/>
      <c r="I54" s="21">
        <f t="shared" si="7"/>
        <v>0</v>
      </c>
      <c r="J54" s="21"/>
      <c r="K54" s="31"/>
      <c r="L54" s="32" t="str">
        <f>IFERROR((K54*1.25)*#REF!,"")</f>
        <v/>
      </c>
      <c r="M54" s="33" t="str">
        <f t="shared" si="9"/>
        <v/>
      </c>
      <c r="N54" s="28" t="str">
        <f t="shared" si="10"/>
        <v/>
      </c>
      <c r="O54" s="29" t="str">
        <f t="shared" si="11"/>
        <v/>
      </c>
      <c r="U54" s="6"/>
      <c r="V54" s="6"/>
      <c r="AB54" s="6"/>
      <c r="AC54" s="6"/>
      <c r="AI54" s="6"/>
      <c r="AJ54" s="6"/>
      <c r="AP54" s="6"/>
      <c r="AQ54" s="6"/>
    </row>
    <row r="55" spans="1:43" hidden="1" x14ac:dyDescent="0.3">
      <c r="A55" s="5" t="s">
        <v>25</v>
      </c>
      <c r="B55" s="20"/>
      <c r="C55" s="20"/>
      <c r="D55" s="20"/>
      <c r="E55" s="21" t="str">
        <f>IFERROR(VLOOKUP(D55,[1]Données!A:B,2,FALSE),"")</f>
        <v/>
      </c>
      <c r="F55" s="23">
        <f t="shared" si="12"/>
        <v>0</v>
      </c>
      <c r="G55" s="22"/>
      <c r="H55" s="20"/>
      <c r="I55" s="21">
        <f t="shared" si="7"/>
        <v>0</v>
      </c>
      <c r="J55" s="21"/>
      <c r="K55" s="31"/>
      <c r="L55" s="32" t="str">
        <f>IFERROR((K55*1.25)*#REF!,"")</f>
        <v/>
      </c>
      <c r="M55" s="33" t="str">
        <f t="shared" si="9"/>
        <v/>
      </c>
      <c r="N55" s="28" t="str">
        <f t="shared" si="10"/>
        <v/>
      </c>
      <c r="O55" s="29" t="str">
        <f t="shared" si="11"/>
        <v/>
      </c>
      <c r="U55" s="6"/>
      <c r="V55" s="6"/>
      <c r="AB55" s="6"/>
      <c r="AC55" s="6"/>
      <c r="AI55" s="6"/>
      <c r="AJ55" s="6"/>
      <c r="AP55" s="6"/>
      <c r="AQ55" s="6"/>
    </row>
    <row r="56" spans="1:43" hidden="1" x14ac:dyDescent="0.3">
      <c r="A56" s="5" t="s">
        <v>25</v>
      </c>
      <c r="B56" s="20"/>
      <c r="C56" s="20"/>
      <c r="D56" s="20"/>
      <c r="E56" s="21" t="str">
        <f>IFERROR(VLOOKUP(D56,[1]Données!A:B,2,FALSE),"")</f>
        <v/>
      </c>
      <c r="F56" s="23">
        <f t="shared" si="12"/>
        <v>0</v>
      </c>
      <c r="G56" s="22"/>
      <c r="H56" s="20"/>
      <c r="I56" s="21">
        <f t="shared" si="7"/>
        <v>0</v>
      </c>
      <c r="J56" s="21"/>
      <c r="K56" s="31"/>
      <c r="L56" s="32" t="str">
        <f>IFERROR((K56*1.25)*#REF!,"")</f>
        <v/>
      </c>
      <c r="M56" s="33" t="str">
        <f t="shared" si="9"/>
        <v/>
      </c>
      <c r="N56" s="28" t="str">
        <f t="shared" si="10"/>
        <v/>
      </c>
      <c r="O56" s="29" t="str">
        <f t="shared" si="11"/>
        <v/>
      </c>
      <c r="U56" s="6"/>
      <c r="V56" s="6"/>
      <c r="AB56" s="6"/>
      <c r="AC56" s="6"/>
      <c r="AI56" s="6"/>
      <c r="AJ56" s="6"/>
      <c r="AP56" s="6"/>
      <c r="AQ56" s="6"/>
    </row>
    <row r="57" spans="1:43" hidden="1" x14ac:dyDescent="0.3">
      <c r="A57" s="5" t="s">
        <v>25</v>
      </c>
      <c r="B57" s="20"/>
      <c r="C57" s="20"/>
      <c r="D57" s="20"/>
      <c r="E57" s="21" t="str">
        <f>IFERROR(VLOOKUP(D57,[1]Données!A:B,2,FALSE),"")</f>
        <v/>
      </c>
      <c r="F57" s="23">
        <f t="shared" si="12"/>
        <v>0</v>
      </c>
      <c r="G57" s="22"/>
      <c r="H57" s="20"/>
      <c r="I57" s="21">
        <f t="shared" si="7"/>
        <v>0</v>
      </c>
      <c r="J57" s="21"/>
      <c r="K57" s="31"/>
      <c r="L57" s="32" t="str">
        <f>IFERROR((K57*1.25)*#REF!,"")</f>
        <v/>
      </c>
      <c r="M57" s="33" t="str">
        <f t="shared" si="9"/>
        <v/>
      </c>
      <c r="N57" s="28" t="str">
        <f t="shared" si="10"/>
        <v/>
      </c>
      <c r="O57" s="29" t="str">
        <f t="shared" si="11"/>
        <v/>
      </c>
      <c r="U57" s="6"/>
      <c r="V57" s="6"/>
      <c r="AB57" s="6"/>
      <c r="AC57" s="6"/>
      <c r="AI57" s="6"/>
      <c r="AJ57" s="6"/>
      <c r="AP57" s="6"/>
      <c r="AQ57" s="6"/>
    </row>
    <row r="58" spans="1:43" hidden="1" x14ac:dyDescent="0.3">
      <c r="A58" s="5" t="s">
        <v>25</v>
      </c>
      <c r="B58" s="20"/>
      <c r="C58" s="20"/>
      <c r="D58" s="20"/>
      <c r="E58" s="21" t="str">
        <f>IFERROR(VLOOKUP(D58,[1]Données!A:B,2,FALSE),"")</f>
        <v/>
      </c>
      <c r="F58" s="23">
        <f t="shared" si="12"/>
        <v>0</v>
      </c>
      <c r="G58" s="22"/>
      <c r="H58" s="20"/>
      <c r="I58" s="21">
        <f t="shared" si="7"/>
        <v>0</v>
      </c>
      <c r="J58" s="21"/>
      <c r="K58" s="31"/>
      <c r="L58" s="32" t="str">
        <f>IFERROR((K58*1.25)*#REF!,"")</f>
        <v/>
      </c>
      <c r="M58" s="33" t="str">
        <f t="shared" si="9"/>
        <v/>
      </c>
      <c r="N58" s="28" t="str">
        <f t="shared" si="10"/>
        <v/>
      </c>
      <c r="O58" s="29" t="str">
        <f t="shared" si="11"/>
        <v/>
      </c>
      <c r="U58" s="6"/>
      <c r="V58" s="6"/>
      <c r="AB58" s="6"/>
      <c r="AC58" s="6"/>
      <c r="AI58" s="6"/>
      <c r="AJ58" s="6"/>
      <c r="AP58" s="6"/>
      <c r="AQ58" s="6"/>
    </row>
    <row r="59" spans="1:43" hidden="1" x14ac:dyDescent="0.3">
      <c r="A59" s="5" t="s">
        <v>25</v>
      </c>
      <c r="B59" s="20"/>
      <c r="C59" s="20"/>
      <c r="D59" s="20"/>
      <c r="E59" s="21" t="str">
        <f>IFERROR(VLOOKUP(D59,[1]Données!A:B,2,FALSE),"")</f>
        <v/>
      </c>
      <c r="F59" s="23">
        <f t="shared" si="12"/>
        <v>0</v>
      </c>
      <c r="G59" s="22"/>
      <c r="H59" s="20"/>
      <c r="I59" s="21">
        <f t="shared" si="7"/>
        <v>0</v>
      </c>
      <c r="J59" s="21"/>
      <c r="K59" s="31"/>
      <c r="L59" s="32" t="str">
        <f>IFERROR((K59*1.25)*#REF!,"")</f>
        <v/>
      </c>
      <c r="M59" s="33" t="str">
        <f t="shared" si="9"/>
        <v/>
      </c>
      <c r="N59" s="28" t="str">
        <f t="shared" si="10"/>
        <v/>
      </c>
      <c r="O59" s="29" t="str">
        <f t="shared" si="11"/>
        <v/>
      </c>
      <c r="U59" s="6"/>
      <c r="V59" s="6"/>
      <c r="AB59" s="6"/>
      <c r="AC59" s="6"/>
      <c r="AI59" s="6"/>
      <c r="AJ59" s="6"/>
      <c r="AP59" s="6"/>
      <c r="AQ59" s="6"/>
    </row>
    <row r="60" spans="1:43" hidden="1" x14ac:dyDescent="0.3">
      <c r="A60" s="5" t="s">
        <v>25</v>
      </c>
      <c r="B60" s="20"/>
      <c r="C60" s="20"/>
      <c r="D60" s="20"/>
      <c r="E60" s="21" t="str">
        <f>IFERROR(VLOOKUP(D60,[1]Données!A:B,2,FALSE),"")</f>
        <v/>
      </c>
      <c r="F60" s="23">
        <f t="shared" si="12"/>
        <v>0</v>
      </c>
      <c r="G60" s="22"/>
      <c r="H60" s="20"/>
      <c r="I60" s="21">
        <f t="shared" si="7"/>
        <v>0</v>
      </c>
      <c r="J60" s="21"/>
      <c r="K60" s="31"/>
      <c r="L60" s="32" t="str">
        <f>IFERROR((K60*1.25)*#REF!,"")</f>
        <v/>
      </c>
      <c r="M60" s="33" t="str">
        <f t="shared" si="9"/>
        <v/>
      </c>
      <c r="N60" s="28" t="str">
        <f t="shared" si="10"/>
        <v/>
      </c>
      <c r="O60" s="29" t="str">
        <f t="shared" si="11"/>
        <v/>
      </c>
      <c r="U60" s="6"/>
      <c r="V60" s="6"/>
      <c r="AB60" s="6"/>
      <c r="AC60" s="6"/>
      <c r="AI60" s="6"/>
      <c r="AJ60" s="6"/>
      <c r="AP60" s="6"/>
      <c r="AQ60" s="6"/>
    </row>
    <row r="61" spans="1:43" hidden="1" x14ac:dyDescent="0.3">
      <c r="A61" s="5" t="s">
        <v>25</v>
      </c>
      <c r="B61" s="20"/>
      <c r="C61" s="20"/>
      <c r="D61" s="20"/>
      <c r="E61" s="21" t="str">
        <f>IFERROR(VLOOKUP(D61,[1]Données!A:B,2,FALSE),"")</f>
        <v/>
      </c>
      <c r="F61" s="23">
        <f t="shared" si="12"/>
        <v>0</v>
      </c>
      <c r="G61" s="22"/>
      <c r="H61" s="20"/>
      <c r="I61" s="21">
        <f t="shared" si="7"/>
        <v>0</v>
      </c>
      <c r="J61" s="21"/>
      <c r="K61" s="31"/>
      <c r="L61" s="32" t="str">
        <f>IFERROR((K61*1.25)*#REF!,"")</f>
        <v/>
      </c>
      <c r="M61" s="33" t="str">
        <f t="shared" si="9"/>
        <v/>
      </c>
      <c r="N61" s="28" t="str">
        <f t="shared" si="10"/>
        <v/>
      </c>
      <c r="O61" s="29" t="str">
        <f t="shared" si="11"/>
        <v/>
      </c>
      <c r="U61" s="6"/>
      <c r="V61" s="6"/>
      <c r="AB61" s="6"/>
      <c r="AC61" s="6"/>
      <c r="AI61" s="6"/>
      <c r="AJ61" s="6"/>
      <c r="AP61" s="6"/>
      <c r="AQ61" s="6"/>
    </row>
    <row r="62" spans="1:43" hidden="1" x14ac:dyDescent="0.3">
      <c r="A62" s="5" t="s">
        <v>25</v>
      </c>
      <c r="B62" s="20"/>
      <c r="C62" s="20"/>
      <c r="D62" s="20"/>
      <c r="E62" s="21" t="str">
        <f>IFERROR(VLOOKUP(D62,[1]Données!A:B,2,FALSE),"")</f>
        <v/>
      </c>
      <c r="F62" s="23">
        <f t="shared" si="12"/>
        <v>0</v>
      </c>
      <c r="G62" s="22"/>
      <c r="H62" s="20"/>
      <c r="I62" s="21">
        <f t="shared" si="7"/>
        <v>0</v>
      </c>
      <c r="J62" s="21"/>
      <c r="K62" s="31"/>
      <c r="L62" s="32" t="str">
        <f>IFERROR((K62*1.25)*#REF!,"")</f>
        <v/>
      </c>
      <c r="M62" s="33" t="str">
        <f t="shared" si="9"/>
        <v/>
      </c>
      <c r="N62" s="28" t="str">
        <f t="shared" si="10"/>
        <v/>
      </c>
      <c r="O62" s="29" t="str">
        <f t="shared" si="11"/>
        <v/>
      </c>
      <c r="U62" s="6"/>
      <c r="V62" s="6"/>
      <c r="AB62" s="6"/>
      <c r="AC62" s="6"/>
      <c r="AI62" s="6"/>
      <c r="AJ62" s="6"/>
      <c r="AP62" s="6"/>
      <c r="AQ62" s="6"/>
    </row>
    <row r="63" spans="1:43" hidden="1" x14ac:dyDescent="0.3">
      <c r="A63" s="5" t="s">
        <v>25</v>
      </c>
      <c r="B63" s="20"/>
      <c r="C63" s="20"/>
      <c r="D63" s="20"/>
      <c r="E63" s="21" t="str">
        <f>IFERROR(VLOOKUP(D63,[1]Données!A:B,2,FALSE),"")</f>
        <v/>
      </c>
      <c r="F63" s="23">
        <f t="shared" si="12"/>
        <v>0</v>
      </c>
      <c r="G63" s="22"/>
      <c r="H63" s="20"/>
      <c r="I63" s="21">
        <f t="shared" si="7"/>
        <v>0</v>
      </c>
      <c r="J63" s="21"/>
      <c r="K63" s="31"/>
      <c r="L63" s="32" t="str">
        <f>IFERROR((K63*1.25)*#REF!,"")</f>
        <v/>
      </c>
      <c r="M63" s="33" t="str">
        <f t="shared" si="9"/>
        <v/>
      </c>
      <c r="N63" s="28" t="str">
        <f t="shared" si="10"/>
        <v/>
      </c>
      <c r="O63" s="29" t="str">
        <f t="shared" si="11"/>
        <v/>
      </c>
      <c r="U63" s="6"/>
      <c r="V63" s="6"/>
      <c r="AB63" s="6"/>
      <c r="AC63" s="6"/>
      <c r="AI63" s="6"/>
      <c r="AJ63" s="6"/>
      <c r="AP63" s="6"/>
      <c r="AQ63" s="6"/>
    </row>
    <row r="64" spans="1:43" hidden="1" x14ac:dyDescent="0.3">
      <c r="A64" s="5" t="s">
        <v>25</v>
      </c>
      <c r="B64" s="20"/>
      <c r="C64" s="20"/>
      <c r="D64" s="20"/>
      <c r="E64" s="21" t="str">
        <f>IFERROR(VLOOKUP(D64,[1]Données!A:B,2,FALSE),"")</f>
        <v/>
      </c>
      <c r="F64" s="23">
        <f t="shared" si="12"/>
        <v>0</v>
      </c>
      <c r="G64" s="22"/>
      <c r="H64" s="20"/>
      <c r="I64" s="21">
        <f t="shared" si="7"/>
        <v>0</v>
      </c>
      <c r="J64" s="21"/>
      <c r="K64" s="31"/>
      <c r="L64" s="32" t="str">
        <f>IFERROR((K64*1.25)*#REF!,"")</f>
        <v/>
      </c>
      <c r="M64" s="33" t="str">
        <f t="shared" si="9"/>
        <v/>
      </c>
      <c r="N64" s="28" t="str">
        <f t="shared" si="10"/>
        <v/>
      </c>
      <c r="O64" s="29" t="str">
        <f t="shared" si="11"/>
        <v/>
      </c>
      <c r="U64" s="6"/>
      <c r="V64" s="6"/>
      <c r="AB64" s="6"/>
      <c r="AC64" s="6"/>
      <c r="AI64" s="6"/>
      <c r="AJ64" s="6"/>
      <c r="AP64" s="6"/>
      <c r="AQ64" s="6"/>
    </row>
    <row r="65" spans="1:46" hidden="1" x14ac:dyDescent="0.3">
      <c r="A65" s="5" t="s">
        <v>25</v>
      </c>
      <c r="B65" s="20"/>
      <c r="C65" s="20"/>
      <c r="D65" s="20"/>
      <c r="E65" s="21" t="str">
        <f>IFERROR(VLOOKUP(D65,[1]Données!A:B,2,FALSE),"")</f>
        <v/>
      </c>
      <c r="F65" s="23">
        <f t="shared" si="12"/>
        <v>0</v>
      </c>
      <c r="G65" s="22"/>
      <c r="H65" s="20"/>
      <c r="I65" s="21">
        <f t="shared" si="7"/>
        <v>0</v>
      </c>
      <c r="J65" s="21"/>
      <c r="K65" s="31"/>
      <c r="L65" s="32" t="str">
        <f>IFERROR((K65*1.25)*#REF!,"")</f>
        <v/>
      </c>
      <c r="M65" s="33" t="str">
        <f t="shared" si="9"/>
        <v/>
      </c>
      <c r="N65" s="28" t="str">
        <f t="shared" si="10"/>
        <v/>
      </c>
      <c r="O65" s="29" t="str">
        <f t="shared" si="11"/>
        <v/>
      </c>
      <c r="U65" s="6"/>
      <c r="V65" s="6"/>
      <c r="AB65" s="6"/>
      <c r="AC65" s="6"/>
      <c r="AI65" s="6"/>
      <c r="AJ65" s="6"/>
      <c r="AP65" s="6"/>
      <c r="AQ65" s="6"/>
    </row>
    <row r="66" spans="1:46" hidden="1" x14ac:dyDescent="0.3">
      <c r="A66" s="5" t="s">
        <v>25</v>
      </c>
      <c r="B66" s="20"/>
      <c r="C66" s="20"/>
      <c r="D66" s="20"/>
      <c r="E66" s="21" t="str">
        <f>IFERROR(VLOOKUP(D66,[1]Données!A:B,2,FALSE),"")</f>
        <v/>
      </c>
      <c r="F66" s="23">
        <f t="shared" si="12"/>
        <v>0</v>
      </c>
      <c r="G66" s="22"/>
      <c r="H66" s="20"/>
      <c r="I66" s="21">
        <f t="shared" si="7"/>
        <v>0</v>
      </c>
      <c r="J66" s="21"/>
      <c r="K66" s="31"/>
      <c r="L66" s="32" t="str">
        <f>IFERROR((K66*1.25)*#REF!,"")</f>
        <v/>
      </c>
      <c r="M66" s="33" t="str">
        <f t="shared" si="9"/>
        <v/>
      </c>
      <c r="N66" s="28" t="str">
        <f t="shared" si="10"/>
        <v/>
      </c>
      <c r="O66" s="29" t="str">
        <f t="shared" si="11"/>
        <v/>
      </c>
      <c r="U66" s="6"/>
      <c r="V66" s="6"/>
      <c r="AB66" s="6"/>
      <c r="AC66" s="6"/>
      <c r="AI66" s="6"/>
      <c r="AJ66" s="6"/>
      <c r="AP66" s="6"/>
      <c r="AQ66" s="6"/>
    </row>
    <row r="67" spans="1:46" hidden="1" x14ac:dyDescent="0.3">
      <c r="A67" s="5" t="s">
        <v>25</v>
      </c>
      <c r="B67" s="20"/>
      <c r="C67" s="20"/>
      <c r="D67" s="20"/>
      <c r="E67" s="21" t="str">
        <f>IFERROR(VLOOKUP(D67,[1]Données!A:B,2,FALSE),"")</f>
        <v/>
      </c>
      <c r="F67" s="23">
        <f t="shared" si="12"/>
        <v>0</v>
      </c>
      <c r="G67" s="22"/>
      <c r="H67" s="20"/>
      <c r="I67" s="21">
        <f t="shared" si="7"/>
        <v>0</v>
      </c>
      <c r="J67" s="21"/>
      <c r="K67" s="31"/>
      <c r="L67" s="32" t="str">
        <f>IFERROR((K67*1.25)*#REF!,"")</f>
        <v/>
      </c>
      <c r="M67" s="33" t="str">
        <f t="shared" si="9"/>
        <v/>
      </c>
      <c r="N67" s="28" t="str">
        <f t="shared" si="10"/>
        <v/>
      </c>
      <c r="O67" s="29" t="str">
        <f t="shared" si="11"/>
        <v/>
      </c>
      <c r="U67" s="6"/>
      <c r="V67" s="6"/>
      <c r="AB67" s="6"/>
      <c r="AC67" s="6"/>
      <c r="AI67" s="6"/>
      <c r="AJ67" s="6"/>
      <c r="AP67" s="6"/>
      <c r="AQ67" s="6"/>
    </row>
    <row r="68" spans="1:46" hidden="1" x14ac:dyDescent="0.3">
      <c r="A68" s="5" t="s">
        <v>25</v>
      </c>
      <c r="B68" s="20"/>
      <c r="C68" s="20"/>
      <c r="D68" s="20"/>
      <c r="E68" s="21" t="str">
        <f>IFERROR(VLOOKUP(D68,[1]Données!A:B,2,FALSE),"")</f>
        <v/>
      </c>
      <c r="F68" s="23">
        <f t="shared" si="12"/>
        <v>0</v>
      </c>
      <c r="G68" s="22"/>
      <c r="H68" s="20"/>
      <c r="I68" s="21">
        <f t="shared" si="7"/>
        <v>0</v>
      </c>
      <c r="J68" s="21"/>
      <c r="K68" s="31"/>
      <c r="L68" s="32" t="str">
        <f>IFERROR((K68*1.25)*#REF!,"")</f>
        <v/>
      </c>
      <c r="M68" s="33" t="str">
        <f t="shared" si="9"/>
        <v/>
      </c>
      <c r="N68" s="28" t="str">
        <f t="shared" si="10"/>
        <v/>
      </c>
      <c r="O68" s="29" t="str">
        <f t="shared" si="11"/>
        <v/>
      </c>
      <c r="U68" s="6"/>
      <c r="V68" s="6"/>
      <c r="AB68" s="6"/>
      <c r="AC68" s="6"/>
      <c r="AI68" s="6"/>
      <c r="AJ68" s="6"/>
      <c r="AP68" s="6"/>
      <c r="AQ68" s="6"/>
    </row>
    <row r="69" spans="1:46" hidden="1" x14ac:dyDescent="0.3">
      <c r="A69" s="5" t="s">
        <v>25</v>
      </c>
      <c r="B69" s="20"/>
      <c r="C69" s="20"/>
      <c r="D69" s="20"/>
      <c r="E69" s="21" t="str">
        <f>IFERROR(VLOOKUP(D69,[1]Données!A:B,2,FALSE),"")</f>
        <v/>
      </c>
      <c r="F69" s="23">
        <f t="shared" si="12"/>
        <v>0</v>
      </c>
      <c r="G69" s="22"/>
      <c r="H69" s="20"/>
      <c r="I69" s="21">
        <f t="shared" si="7"/>
        <v>0</v>
      </c>
      <c r="J69" s="21"/>
      <c r="K69" s="31"/>
      <c r="L69" s="32" t="str">
        <f>IFERROR((K69*1.25)*#REF!,"")</f>
        <v/>
      </c>
      <c r="M69" s="33" t="str">
        <f t="shared" si="9"/>
        <v/>
      </c>
      <c r="N69" s="28" t="str">
        <f t="shared" si="10"/>
        <v/>
      </c>
      <c r="O69" s="29" t="str">
        <f t="shared" si="11"/>
        <v/>
      </c>
      <c r="U69" s="6"/>
      <c r="V69" s="6"/>
      <c r="AB69" s="6"/>
      <c r="AC69" s="6"/>
      <c r="AI69" s="6"/>
      <c r="AJ69" s="6"/>
      <c r="AP69" s="6"/>
      <c r="AQ69" s="6"/>
    </row>
    <row r="70" spans="1:46" hidden="1" x14ac:dyDescent="0.3">
      <c r="A70" s="5" t="s">
        <v>25</v>
      </c>
      <c r="B70" s="20"/>
      <c r="C70" s="20"/>
      <c r="D70" s="20"/>
      <c r="E70" s="21" t="str">
        <f>IFERROR(VLOOKUP(D70,[1]Données!A:B,2,FALSE),"")</f>
        <v/>
      </c>
      <c r="F70" s="23">
        <f t="shared" si="12"/>
        <v>0</v>
      </c>
      <c r="G70" s="22"/>
      <c r="H70" s="20"/>
      <c r="I70" s="21">
        <f t="shared" si="7"/>
        <v>0</v>
      </c>
      <c r="J70" s="21"/>
      <c r="K70" s="31"/>
      <c r="L70" s="32" t="str">
        <f>IFERROR((K70*1.25)*#REF!,"")</f>
        <v/>
      </c>
      <c r="M70" s="33" t="str">
        <f t="shared" si="9"/>
        <v/>
      </c>
      <c r="N70" s="28" t="str">
        <f t="shared" si="10"/>
        <v/>
      </c>
      <c r="O70" s="29" t="str">
        <f t="shared" si="11"/>
        <v/>
      </c>
      <c r="U70" s="6"/>
      <c r="V70" s="6"/>
      <c r="AB70" s="6"/>
      <c r="AC70" s="6"/>
      <c r="AI70" s="6"/>
      <c r="AJ70" s="6"/>
      <c r="AP70" s="6"/>
      <c r="AQ70" s="6"/>
    </row>
    <row r="71" spans="1:46" hidden="1" x14ac:dyDescent="0.3">
      <c r="A71" s="5" t="s">
        <v>25</v>
      </c>
      <c r="B71" s="20"/>
      <c r="C71" s="20"/>
      <c r="D71" s="20"/>
      <c r="E71" s="21" t="str">
        <f>IFERROR(VLOOKUP(D71,[1]Données!A:B,2,FALSE),"")</f>
        <v/>
      </c>
      <c r="F71" s="23">
        <f t="shared" si="12"/>
        <v>0</v>
      </c>
      <c r="G71" s="22"/>
      <c r="H71" s="20"/>
      <c r="I71" s="21">
        <f t="shared" si="7"/>
        <v>0</v>
      </c>
      <c r="J71" s="21"/>
      <c r="K71" s="31"/>
      <c r="L71" s="32" t="str">
        <f>IFERROR((K71*1.25)*#REF!,"")</f>
        <v/>
      </c>
      <c r="M71" s="33" t="str">
        <f t="shared" si="9"/>
        <v/>
      </c>
      <c r="N71" s="28" t="str">
        <f t="shared" si="10"/>
        <v/>
      </c>
      <c r="O71" s="29" t="str">
        <f t="shared" si="11"/>
        <v/>
      </c>
      <c r="U71" s="6"/>
      <c r="V71" s="6"/>
      <c r="AB71" s="6"/>
      <c r="AC71" s="6"/>
      <c r="AI71" s="6"/>
      <c r="AJ71" s="6"/>
      <c r="AP71" s="6"/>
      <c r="AQ71" s="6"/>
    </row>
    <row r="72" spans="1:46" hidden="1" x14ac:dyDescent="0.3">
      <c r="A72" s="5" t="s">
        <v>25</v>
      </c>
      <c r="B72" s="20"/>
      <c r="C72" s="20"/>
      <c r="D72" s="20"/>
      <c r="E72" s="21" t="str">
        <f>IFERROR(VLOOKUP(D72,[1]Données!A:B,2,FALSE),"")</f>
        <v/>
      </c>
      <c r="F72" s="23">
        <f t="shared" si="12"/>
        <v>0</v>
      </c>
      <c r="G72" s="22"/>
      <c r="H72" s="20"/>
      <c r="I72" s="21">
        <f t="shared" si="7"/>
        <v>0</v>
      </c>
      <c r="J72" s="21"/>
      <c r="K72" s="31"/>
      <c r="L72" s="32" t="str">
        <f>IFERROR((K72*1.25)*#REF!,"")</f>
        <v/>
      </c>
      <c r="M72" s="33" t="str">
        <f t="shared" si="9"/>
        <v/>
      </c>
      <c r="N72" s="28" t="str">
        <f t="shared" si="10"/>
        <v/>
      </c>
      <c r="O72" s="29" t="str">
        <f t="shared" si="11"/>
        <v/>
      </c>
      <c r="U72" s="6"/>
      <c r="V72" s="6"/>
      <c r="AB72" s="6"/>
      <c r="AC72" s="6"/>
      <c r="AI72" s="6"/>
      <c r="AJ72" s="6"/>
      <c r="AP72" s="6"/>
      <c r="AQ72" s="6"/>
    </row>
    <row r="73" spans="1:46" hidden="1" x14ac:dyDescent="0.3">
      <c r="A73" s="5" t="s">
        <v>25</v>
      </c>
      <c r="B73" s="20"/>
      <c r="C73" s="20"/>
      <c r="D73" s="20"/>
      <c r="E73" s="21" t="str">
        <f>IFERROR(VLOOKUP(D73,[1]Données!A:B,2,FALSE),"")</f>
        <v/>
      </c>
      <c r="F73" s="23">
        <f t="shared" si="12"/>
        <v>0</v>
      </c>
      <c r="G73" s="22"/>
      <c r="H73" s="20"/>
      <c r="I73" s="21">
        <f t="shared" si="7"/>
        <v>0</v>
      </c>
      <c r="J73" s="21"/>
      <c r="K73" s="31"/>
      <c r="L73" s="32" t="str">
        <f>IFERROR((K73*1.25)*#REF!,"")</f>
        <v/>
      </c>
      <c r="M73" s="33" t="str">
        <f t="shared" si="9"/>
        <v/>
      </c>
      <c r="N73" s="28" t="str">
        <f t="shared" si="10"/>
        <v/>
      </c>
      <c r="O73" s="29" t="str">
        <f t="shared" si="11"/>
        <v/>
      </c>
      <c r="U73" s="6"/>
      <c r="V73" s="6"/>
      <c r="AB73" s="6"/>
      <c r="AC73" s="6"/>
      <c r="AI73" s="6"/>
      <c r="AJ73" s="6"/>
      <c r="AP73" s="6"/>
      <c r="AQ73" s="6"/>
    </row>
    <row r="74" spans="1:46" hidden="1" x14ac:dyDescent="0.3">
      <c r="A74" s="5" t="s">
        <v>25</v>
      </c>
      <c r="B74" s="20"/>
      <c r="C74" s="20"/>
      <c r="D74" s="20"/>
      <c r="E74" s="21" t="str">
        <f>IFERROR(VLOOKUP(D74,[1]Données!A:B,2,FALSE),"")</f>
        <v/>
      </c>
      <c r="F74" s="23">
        <f t="shared" si="12"/>
        <v>0</v>
      </c>
      <c r="G74" s="22"/>
      <c r="H74" s="20"/>
      <c r="I74" s="21">
        <f t="shared" ref="I74:I75" si="15">SUM(P74:AT74)</f>
        <v>0</v>
      </c>
      <c r="J74" s="21"/>
      <c r="K74" s="31"/>
      <c r="L74" s="32" t="str">
        <f>IFERROR((K74*1.25)*#REF!,"")</f>
        <v/>
      </c>
      <c r="M74" s="33" t="str">
        <f t="shared" si="9"/>
        <v/>
      </c>
      <c r="N74" s="28" t="str">
        <f t="shared" si="10"/>
        <v/>
      </c>
      <c r="O74" s="29" t="str">
        <f t="shared" si="11"/>
        <v/>
      </c>
      <c r="U74" s="6"/>
      <c r="V74" s="6"/>
      <c r="AB74" s="6"/>
      <c r="AC74" s="6"/>
      <c r="AI74" s="6"/>
      <c r="AJ74" s="6"/>
      <c r="AP74" s="6"/>
      <c r="AQ74" s="6"/>
    </row>
    <row r="75" spans="1:46" hidden="1" x14ac:dyDescent="0.3">
      <c r="A75" s="5" t="s">
        <v>25</v>
      </c>
      <c r="B75" s="20"/>
      <c r="C75" s="20"/>
      <c r="D75" s="20"/>
      <c r="E75" s="21" t="str">
        <f>IFERROR(VLOOKUP(D75,[1]Données!A:B,2,FALSE),"")</f>
        <v/>
      </c>
      <c r="F75" s="23">
        <f t="shared" si="12"/>
        <v>0</v>
      </c>
      <c r="G75" s="22"/>
      <c r="H75" s="20"/>
      <c r="I75" s="21">
        <f t="shared" si="15"/>
        <v>0</v>
      </c>
      <c r="J75" s="21"/>
      <c r="K75" s="34"/>
      <c r="L75" s="32" t="str">
        <f>IFERROR((K75*1.25)*#REF!,"")</f>
        <v/>
      </c>
      <c r="M75" s="35" t="str">
        <f t="shared" si="9"/>
        <v/>
      </c>
      <c r="N75" s="28" t="str">
        <f t="shared" si="10"/>
        <v/>
      </c>
      <c r="O75" s="29" t="str">
        <f t="shared" si="11"/>
        <v/>
      </c>
      <c r="U75" s="6"/>
      <c r="V75" s="6"/>
      <c r="AB75" s="6"/>
      <c r="AC75" s="6"/>
      <c r="AI75" s="6"/>
      <c r="AJ75" s="6"/>
      <c r="AP75" s="6"/>
      <c r="AQ75" s="6"/>
    </row>
    <row r="76" spans="1:46" ht="15.6" x14ac:dyDescent="0.3">
      <c r="I76" s="5">
        <f>SUM(I23:I37)+SUM(I5:I21)</f>
        <v>0</v>
      </c>
      <c r="M76" s="37">
        <f>SUM(M5:M75)</f>
        <v>0</v>
      </c>
      <c r="N76" s="38">
        <f t="shared" ref="N76:O76" si="16">SUM(N5:N75)</f>
        <v>0</v>
      </c>
      <c r="O76" s="39">
        <f t="shared" si="16"/>
        <v>0</v>
      </c>
      <c r="U76" s="6"/>
      <c r="V76" s="6"/>
      <c r="AB76" s="6"/>
      <c r="AC76" s="6"/>
      <c r="AI76" s="6"/>
      <c r="AJ76" s="6"/>
      <c r="AP76" s="6"/>
      <c r="AQ76" s="6"/>
    </row>
    <row r="77" spans="1:46" x14ac:dyDescent="0.3">
      <c r="K77" s="40" t="e">
        <f>(M76+N76+O76)/I76</f>
        <v>#DIV/0!</v>
      </c>
    </row>
    <row r="79" spans="1:46" x14ac:dyDescent="0.3">
      <c r="A79" s="45" t="s">
        <v>26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6"/>
      <c r="V79" s="46"/>
      <c r="W79" s="45"/>
      <c r="X79" s="45"/>
      <c r="Y79" s="45"/>
      <c r="Z79" s="45"/>
      <c r="AA79" s="45"/>
      <c r="AB79" s="46"/>
      <c r="AC79" s="46"/>
      <c r="AD79" s="45"/>
      <c r="AE79" s="45"/>
      <c r="AF79" s="45"/>
      <c r="AG79" s="45"/>
      <c r="AH79" s="45"/>
      <c r="AI79" s="46"/>
      <c r="AJ79" s="46"/>
      <c r="AK79" s="45"/>
      <c r="AL79" s="45"/>
      <c r="AM79" s="45"/>
      <c r="AN79" s="45"/>
      <c r="AO79" s="45"/>
      <c r="AP79" s="46"/>
      <c r="AQ79" s="46"/>
      <c r="AR79" s="45"/>
      <c r="AS79" s="45"/>
      <c r="AT79" s="45"/>
    </row>
    <row r="80" spans="1:46" x14ac:dyDescent="0.3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8"/>
      <c r="V80" s="48"/>
      <c r="W80" s="47"/>
      <c r="X80" s="47"/>
      <c r="Y80" s="47"/>
      <c r="Z80" s="47"/>
      <c r="AA80" s="47"/>
      <c r="AB80" s="48"/>
      <c r="AC80" s="48"/>
      <c r="AD80" s="47"/>
      <c r="AE80" s="47"/>
      <c r="AF80" s="47"/>
      <c r="AG80" s="47"/>
      <c r="AH80" s="47"/>
      <c r="AI80" s="48"/>
      <c r="AJ80" s="48"/>
      <c r="AK80" s="47"/>
      <c r="AL80" s="47"/>
      <c r="AM80" s="47"/>
      <c r="AN80" s="47"/>
      <c r="AO80" s="47"/>
      <c r="AP80" s="48"/>
      <c r="AQ80" s="48"/>
      <c r="AR80" s="47"/>
      <c r="AS80" s="47"/>
      <c r="AT80" s="47"/>
    </row>
    <row r="82" spans="1:49" ht="21" x14ac:dyDescent="0.4">
      <c r="A82" s="49" t="s">
        <v>27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3"/>
      <c r="V82" s="43"/>
      <c r="W82" s="49"/>
      <c r="X82" s="49"/>
      <c r="Y82" s="49"/>
      <c r="Z82" s="49"/>
      <c r="AA82" s="49"/>
      <c r="AB82" s="43"/>
      <c r="AC82" s="43"/>
      <c r="AD82" s="49"/>
      <c r="AE82" s="49"/>
      <c r="AF82" s="49"/>
      <c r="AG82" s="49"/>
      <c r="AH82" s="49"/>
      <c r="AI82" s="43"/>
      <c r="AJ82" s="43"/>
      <c r="AK82" s="49"/>
      <c r="AL82" s="49"/>
      <c r="AM82" s="49"/>
      <c r="AN82" s="49"/>
      <c r="AO82" s="49"/>
      <c r="AP82" s="43"/>
      <c r="AQ82" s="43"/>
      <c r="AR82" s="49"/>
      <c r="AS82" s="49"/>
      <c r="AT82" s="49"/>
    </row>
    <row r="83" spans="1:49" x14ac:dyDescent="0.3">
      <c r="A83" s="8" t="s">
        <v>23</v>
      </c>
      <c r="B83" s="20"/>
      <c r="C83" s="9"/>
      <c r="D83" s="9"/>
      <c r="E83" s="10" t="str">
        <f>IFERROR(VLOOKUP(D83,[1]Données!A:B,2,FALSE),"")</f>
        <v/>
      </c>
      <c r="F83" s="11"/>
      <c r="G83" s="12" t="str">
        <f t="shared" ref="G83:G93" si="17">IFERROR(F83/H83,"")</f>
        <v/>
      </c>
      <c r="H83" s="9"/>
      <c r="I83" s="10">
        <f>SUM(P83:AT83)</f>
        <v>0</v>
      </c>
      <c r="J83" s="13" t="str">
        <f t="shared" ref="J83:J93" si="18">IFERROR(I83/H83,"")</f>
        <v/>
      </c>
      <c r="K83" s="14"/>
      <c r="L83" s="15" t="str">
        <f>IFERROR((K83*1.25)*G83,"")</f>
        <v/>
      </c>
      <c r="M83" s="16" t="str">
        <f>IF($E83="Méca",I83*G83+L83,"")</f>
        <v/>
      </c>
      <c r="N83" s="17" t="str">
        <f>IF($E83="Calcul",I83*G83+L83,"")</f>
        <v/>
      </c>
      <c r="O83" s="18" t="str">
        <f>IF($E83="Elec",I83*G83+L83,"")</f>
        <v/>
      </c>
      <c r="U83" s="6"/>
      <c r="V83" s="6"/>
      <c r="AB83" s="6"/>
      <c r="AC83" s="6"/>
      <c r="AI83" s="6"/>
      <c r="AJ83" s="6"/>
      <c r="AP83" s="6"/>
      <c r="AQ83" s="6"/>
      <c r="AW83" s="19" t="e">
        <f t="shared" ref="AW83:AW87" si="19">AV83-J83</f>
        <v>#VALUE!</v>
      </c>
    </row>
    <row r="84" spans="1:49" x14ac:dyDescent="0.3">
      <c r="A84" s="5" t="s">
        <v>23</v>
      </c>
      <c r="B84" s="20"/>
      <c r="C84" s="20"/>
      <c r="D84" s="20"/>
      <c r="E84" s="21" t="str">
        <f>IFERROR(VLOOKUP(D84,[1]Données!A:B,2,FALSE),"")</f>
        <v/>
      </c>
      <c r="F84" s="22"/>
      <c r="G84" s="23" t="str">
        <f t="shared" si="17"/>
        <v/>
      </c>
      <c r="H84" s="20"/>
      <c r="I84" s="21">
        <f t="shared" ref="I84:I93" si="20">SUM(P84:AT84)</f>
        <v>0</v>
      </c>
      <c r="J84" s="24" t="str">
        <f t="shared" si="18"/>
        <v/>
      </c>
      <c r="K84" s="25"/>
      <c r="L84" s="26" t="str">
        <f t="shared" ref="L84:L93" si="21">IFERROR((K84*1.25)*G84,"")</f>
        <v/>
      </c>
      <c r="M84" s="33" t="str">
        <f t="shared" ref="M84:M93" si="22">IF($E84="Méca",I84*G84+L84,"")</f>
        <v/>
      </c>
      <c r="N84" s="30" t="str">
        <f t="shared" ref="N84:N93" si="23">IF($E84="Calcul",I84*G84+L84,"")</f>
        <v/>
      </c>
      <c r="O84" s="41" t="str">
        <f t="shared" ref="O84:O93" si="24">IF($E84="Elec",I84*G84+L84,"")</f>
        <v/>
      </c>
      <c r="U84" s="6"/>
      <c r="V84" s="6"/>
      <c r="AB84" s="6"/>
      <c r="AC84" s="6"/>
      <c r="AI84" s="6"/>
      <c r="AJ84" s="6"/>
      <c r="AP84" s="6"/>
      <c r="AQ84" s="6"/>
      <c r="AW84" s="19" t="e">
        <f t="shared" si="19"/>
        <v>#VALUE!</v>
      </c>
    </row>
    <row r="85" spans="1:49" x14ac:dyDescent="0.3">
      <c r="A85" s="5" t="s">
        <v>23</v>
      </c>
      <c r="B85" s="20"/>
      <c r="C85" s="20"/>
      <c r="D85" s="20"/>
      <c r="E85" s="21" t="str">
        <f>IFERROR(VLOOKUP(D85,[1]Données!A:B,2,FALSE),"")</f>
        <v/>
      </c>
      <c r="F85" s="22"/>
      <c r="G85" s="23" t="str">
        <f t="shared" si="17"/>
        <v/>
      </c>
      <c r="H85" s="20"/>
      <c r="I85" s="21">
        <f t="shared" si="20"/>
        <v>0</v>
      </c>
      <c r="J85" s="24" t="str">
        <f t="shared" si="18"/>
        <v/>
      </c>
      <c r="K85" s="25"/>
      <c r="L85" s="26" t="str">
        <f t="shared" si="21"/>
        <v/>
      </c>
      <c r="M85" s="33" t="str">
        <f t="shared" si="22"/>
        <v/>
      </c>
      <c r="N85" s="30" t="str">
        <f t="shared" si="23"/>
        <v/>
      </c>
      <c r="O85" s="41" t="str">
        <f t="shared" si="24"/>
        <v/>
      </c>
      <c r="U85" s="6"/>
      <c r="V85" s="6"/>
      <c r="AB85" s="6"/>
      <c r="AC85" s="6"/>
      <c r="AI85" s="6"/>
      <c r="AJ85" s="6"/>
      <c r="AP85" s="6"/>
      <c r="AQ85" s="6"/>
      <c r="AW85" s="19" t="e">
        <f t="shared" si="19"/>
        <v>#VALUE!</v>
      </c>
    </row>
    <row r="86" spans="1:49" x14ac:dyDescent="0.3">
      <c r="A86" s="5" t="s">
        <v>23</v>
      </c>
      <c r="B86" s="20"/>
      <c r="C86" s="20"/>
      <c r="D86" s="20"/>
      <c r="E86" s="21" t="str">
        <f>IFERROR(VLOOKUP(D86,[1]Données!A:B,2,FALSE),"")</f>
        <v/>
      </c>
      <c r="F86" s="22"/>
      <c r="G86" s="23" t="str">
        <f t="shared" si="17"/>
        <v/>
      </c>
      <c r="H86" s="20"/>
      <c r="I86" s="21">
        <f t="shared" si="20"/>
        <v>0</v>
      </c>
      <c r="J86" s="24" t="str">
        <f t="shared" si="18"/>
        <v/>
      </c>
      <c r="K86" s="25"/>
      <c r="L86" s="26" t="str">
        <f t="shared" si="21"/>
        <v/>
      </c>
      <c r="M86" s="33" t="str">
        <f t="shared" si="22"/>
        <v/>
      </c>
      <c r="N86" s="30" t="str">
        <f t="shared" si="23"/>
        <v/>
      </c>
      <c r="O86" s="41" t="str">
        <f t="shared" si="24"/>
        <v/>
      </c>
      <c r="U86" s="6"/>
      <c r="V86" s="6"/>
      <c r="AB86" s="6"/>
      <c r="AC86" s="6"/>
      <c r="AI86" s="6"/>
      <c r="AJ86" s="6"/>
      <c r="AP86" s="6"/>
      <c r="AQ86" s="6"/>
      <c r="AW86" s="19" t="e">
        <f t="shared" si="19"/>
        <v>#VALUE!</v>
      </c>
    </row>
    <row r="87" spans="1:49" x14ac:dyDescent="0.3">
      <c r="A87" s="5" t="s">
        <v>23</v>
      </c>
      <c r="B87" s="20"/>
      <c r="C87" s="20"/>
      <c r="D87" s="20"/>
      <c r="E87" s="21" t="str">
        <f>IFERROR(VLOOKUP(D87,[1]Données!A:B,2,FALSE),"")</f>
        <v/>
      </c>
      <c r="F87" s="22"/>
      <c r="G87" s="23" t="str">
        <f t="shared" si="17"/>
        <v/>
      </c>
      <c r="H87" s="20"/>
      <c r="I87" s="21">
        <f t="shared" si="20"/>
        <v>0</v>
      </c>
      <c r="J87" s="24" t="str">
        <f t="shared" si="18"/>
        <v/>
      </c>
      <c r="K87" s="25"/>
      <c r="L87" s="26" t="str">
        <f t="shared" si="21"/>
        <v/>
      </c>
      <c r="M87" s="33" t="str">
        <f t="shared" si="22"/>
        <v/>
      </c>
      <c r="N87" s="30" t="str">
        <f t="shared" si="23"/>
        <v/>
      </c>
      <c r="O87" s="41" t="str">
        <f t="shared" si="24"/>
        <v/>
      </c>
      <c r="U87" s="6"/>
      <c r="V87" s="6"/>
      <c r="AB87" s="6"/>
      <c r="AC87" s="6"/>
      <c r="AI87" s="6"/>
      <c r="AJ87" s="6"/>
      <c r="AP87" s="6"/>
      <c r="AQ87" s="6"/>
      <c r="AW87" s="19" t="e">
        <f t="shared" si="19"/>
        <v>#VALUE!</v>
      </c>
    </row>
    <row r="88" spans="1:49" x14ac:dyDescent="0.3">
      <c r="A88" s="5" t="s">
        <v>23</v>
      </c>
      <c r="B88" s="20"/>
      <c r="C88" s="20"/>
      <c r="D88" s="20"/>
      <c r="E88" s="21" t="str">
        <f>IFERROR(VLOOKUP(D88,[1]Données!A:B,2,FALSE),"")</f>
        <v/>
      </c>
      <c r="F88" s="22"/>
      <c r="G88" s="23" t="str">
        <f t="shared" si="17"/>
        <v/>
      </c>
      <c r="H88" s="20"/>
      <c r="I88" s="21">
        <f t="shared" si="20"/>
        <v>0</v>
      </c>
      <c r="J88" s="24" t="str">
        <f t="shared" si="18"/>
        <v/>
      </c>
      <c r="K88" s="25"/>
      <c r="L88" s="26" t="str">
        <f t="shared" si="21"/>
        <v/>
      </c>
      <c r="M88" s="33" t="str">
        <f t="shared" si="22"/>
        <v/>
      </c>
      <c r="N88" s="30" t="str">
        <f t="shared" si="23"/>
        <v/>
      </c>
      <c r="O88" s="41" t="str">
        <f t="shared" si="24"/>
        <v/>
      </c>
      <c r="U88" s="6"/>
      <c r="V88" s="6"/>
      <c r="AB88" s="6"/>
      <c r="AC88" s="6"/>
      <c r="AI88" s="6"/>
      <c r="AJ88" s="6"/>
      <c r="AP88" s="6"/>
      <c r="AQ88" s="6"/>
      <c r="AW88" s="19" t="e">
        <f>AV88-J88</f>
        <v>#VALUE!</v>
      </c>
    </row>
    <row r="89" spans="1:49" x14ac:dyDescent="0.3">
      <c r="A89" s="5" t="s">
        <v>23</v>
      </c>
      <c r="B89" s="20"/>
      <c r="C89" s="20"/>
      <c r="D89" s="20"/>
      <c r="E89" s="21" t="str">
        <f>IFERROR(VLOOKUP(D89,[1]Données!A:B,2,FALSE),"")</f>
        <v/>
      </c>
      <c r="F89" s="22"/>
      <c r="G89" s="23" t="str">
        <f t="shared" si="17"/>
        <v/>
      </c>
      <c r="H89" s="20"/>
      <c r="I89" s="21">
        <f t="shared" si="20"/>
        <v>0</v>
      </c>
      <c r="J89" s="24" t="str">
        <f t="shared" si="18"/>
        <v/>
      </c>
      <c r="K89" s="25"/>
      <c r="L89" s="26" t="str">
        <f t="shared" si="21"/>
        <v/>
      </c>
      <c r="M89" s="33" t="str">
        <f t="shared" si="22"/>
        <v/>
      </c>
      <c r="N89" s="30" t="str">
        <f t="shared" si="23"/>
        <v/>
      </c>
      <c r="O89" s="41" t="str">
        <f t="shared" si="24"/>
        <v/>
      </c>
      <c r="U89" s="6"/>
      <c r="V89" s="6"/>
      <c r="AB89" s="6"/>
      <c r="AC89" s="6"/>
      <c r="AI89" s="6"/>
      <c r="AJ89" s="6"/>
      <c r="AP89" s="6"/>
      <c r="AQ89" s="6"/>
      <c r="AW89" s="19" t="e">
        <f t="shared" ref="AW89:AW93" si="25">AV89-J89</f>
        <v>#VALUE!</v>
      </c>
    </row>
    <row r="90" spans="1:49" x14ac:dyDescent="0.3">
      <c r="A90" s="5" t="s">
        <v>23</v>
      </c>
      <c r="B90" s="20"/>
      <c r="C90" s="20"/>
      <c r="D90" s="20"/>
      <c r="E90" s="21" t="str">
        <f>IFERROR(VLOOKUP(D90,[1]Données!A:B,2,FALSE),"")</f>
        <v/>
      </c>
      <c r="F90" s="22"/>
      <c r="G90" s="23" t="str">
        <f t="shared" si="17"/>
        <v/>
      </c>
      <c r="H90" s="20"/>
      <c r="I90" s="21">
        <f t="shared" si="20"/>
        <v>0</v>
      </c>
      <c r="J90" s="24" t="str">
        <f t="shared" si="18"/>
        <v/>
      </c>
      <c r="K90" s="25"/>
      <c r="L90" s="26" t="str">
        <f t="shared" si="21"/>
        <v/>
      </c>
      <c r="M90" s="33" t="str">
        <f t="shared" si="22"/>
        <v/>
      </c>
      <c r="N90" s="30" t="str">
        <f t="shared" si="23"/>
        <v/>
      </c>
      <c r="O90" s="41" t="str">
        <f t="shared" si="24"/>
        <v/>
      </c>
      <c r="U90" s="6"/>
      <c r="V90" s="6"/>
      <c r="AB90" s="6"/>
      <c r="AC90" s="6"/>
      <c r="AI90" s="6"/>
      <c r="AJ90" s="6"/>
      <c r="AP90" s="6"/>
      <c r="AQ90" s="6"/>
      <c r="AW90" s="19" t="e">
        <f t="shared" si="25"/>
        <v>#VALUE!</v>
      </c>
    </row>
    <row r="91" spans="1:49" x14ac:dyDescent="0.3">
      <c r="A91" s="5" t="s">
        <v>23</v>
      </c>
      <c r="B91" s="20"/>
      <c r="C91" s="20"/>
      <c r="D91" s="20"/>
      <c r="E91" s="21" t="str">
        <f>IFERROR(VLOOKUP(D91,[1]Données!A:B,2,FALSE),"")</f>
        <v/>
      </c>
      <c r="F91" s="22"/>
      <c r="G91" s="23" t="str">
        <f t="shared" si="17"/>
        <v/>
      </c>
      <c r="H91" s="20"/>
      <c r="I91" s="21">
        <f t="shared" si="20"/>
        <v>0</v>
      </c>
      <c r="J91" s="24" t="str">
        <f t="shared" si="18"/>
        <v/>
      </c>
      <c r="K91" s="25"/>
      <c r="L91" s="26" t="str">
        <f t="shared" si="21"/>
        <v/>
      </c>
      <c r="M91" s="33" t="str">
        <f t="shared" si="22"/>
        <v/>
      </c>
      <c r="N91" s="30" t="str">
        <f t="shared" si="23"/>
        <v/>
      </c>
      <c r="O91" s="41" t="str">
        <f t="shared" si="24"/>
        <v/>
      </c>
      <c r="U91" s="6"/>
      <c r="V91" s="6"/>
      <c r="AB91" s="6"/>
      <c r="AC91" s="6"/>
      <c r="AI91" s="6"/>
      <c r="AJ91" s="6"/>
      <c r="AP91" s="6"/>
      <c r="AQ91" s="6"/>
      <c r="AW91" s="19" t="e">
        <f t="shared" si="25"/>
        <v>#VALUE!</v>
      </c>
    </row>
    <row r="92" spans="1:49" x14ac:dyDescent="0.3">
      <c r="A92" s="5" t="s">
        <v>23</v>
      </c>
      <c r="B92" s="20"/>
      <c r="C92" s="20"/>
      <c r="D92" s="20"/>
      <c r="E92" s="21" t="str">
        <f>IFERROR(VLOOKUP(D92,[1]Données!A:B,2,FALSE),"")</f>
        <v/>
      </c>
      <c r="F92" s="22"/>
      <c r="G92" s="23" t="str">
        <f t="shared" si="17"/>
        <v/>
      </c>
      <c r="H92" s="20"/>
      <c r="I92" s="21">
        <f t="shared" si="20"/>
        <v>0</v>
      </c>
      <c r="J92" s="24" t="str">
        <f t="shared" si="18"/>
        <v/>
      </c>
      <c r="K92" s="25"/>
      <c r="L92" s="26" t="str">
        <f t="shared" si="21"/>
        <v/>
      </c>
      <c r="M92" s="33" t="str">
        <f t="shared" si="22"/>
        <v/>
      </c>
      <c r="N92" s="30" t="str">
        <f t="shared" si="23"/>
        <v/>
      </c>
      <c r="O92" s="41" t="str">
        <f t="shared" si="24"/>
        <v/>
      </c>
      <c r="U92" s="6"/>
      <c r="V92" s="6"/>
      <c r="AB92" s="6"/>
      <c r="AC92" s="6"/>
      <c r="AI92" s="6"/>
      <c r="AJ92" s="6"/>
      <c r="AP92" s="6"/>
      <c r="AQ92" s="6"/>
      <c r="AW92" s="19" t="e">
        <f t="shared" si="25"/>
        <v>#VALUE!</v>
      </c>
    </row>
    <row r="93" spans="1:49" x14ac:dyDescent="0.3">
      <c r="A93" s="5" t="s">
        <v>23</v>
      </c>
      <c r="B93" s="20"/>
      <c r="C93" s="20"/>
      <c r="D93" s="20"/>
      <c r="E93" s="21" t="str">
        <f>IFERROR(VLOOKUP(D93,[1]Données!A:B,2,FALSE),"")</f>
        <v/>
      </c>
      <c r="F93" s="22"/>
      <c r="G93" s="23" t="str">
        <f t="shared" si="17"/>
        <v/>
      </c>
      <c r="H93" s="20"/>
      <c r="I93" s="21">
        <f t="shared" si="20"/>
        <v>0</v>
      </c>
      <c r="J93" s="24" t="str">
        <f t="shared" si="18"/>
        <v/>
      </c>
      <c r="K93" s="25"/>
      <c r="L93" s="26" t="str">
        <f t="shared" si="21"/>
        <v/>
      </c>
      <c r="M93" s="33" t="str">
        <f t="shared" si="22"/>
        <v/>
      </c>
      <c r="N93" s="30" t="str">
        <f t="shared" si="23"/>
        <v/>
      </c>
      <c r="O93" s="41" t="str">
        <f t="shared" si="24"/>
        <v/>
      </c>
      <c r="U93" s="6"/>
      <c r="V93" s="6"/>
      <c r="AB93" s="6"/>
      <c r="AC93" s="6"/>
      <c r="AI93" s="6"/>
      <c r="AJ93" s="6"/>
      <c r="AP93" s="6"/>
      <c r="AQ93" s="6"/>
      <c r="AW93" s="19" t="e">
        <f t="shared" si="25"/>
        <v>#VALUE!</v>
      </c>
    </row>
    <row r="94" spans="1:49" ht="21" x14ac:dyDescent="0.4">
      <c r="A94" s="49" t="s">
        <v>28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3"/>
      <c r="V94" s="43"/>
      <c r="W94" s="49"/>
      <c r="X94" s="49"/>
      <c r="Y94" s="49"/>
      <c r="Z94" s="49"/>
      <c r="AA94" s="49"/>
      <c r="AB94" s="43"/>
      <c r="AC94" s="43"/>
      <c r="AD94" s="49"/>
      <c r="AE94" s="49"/>
      <c r="AF94" s="49"/>
      <c r="AG94" s="49"/>
      <c r="AH94" s="49"/>
      <c r="AI94" s="43"/>
      <c r="AJ94" s="43"/>
      <c r="AK94" s="49"/>
      <c r="AL94" s="49"/>
      <c r="AM94" s="49"/>
      <c r="AN94" s="49"/>
      <c r="AO94" s="49"/>
      <c r="AP94" s="43"/>
      <c r="AQ94" s="43"/>
      <c r="AR94" s="49"/>
      <c r="AS94" s="49"/>
      <c r="AT94" s="49"/>
    </row>
    <row r="95" spans="1:49" x14ac:dyDescent="0.3">
      <c r="A95" s="5" t="s">
        <v>23</v>
      </c>
      <c r="B95" s="20"/>
      <c r="C95" s="20"/>
      <c r="D95" s="20"/>
      <c r="E95" s="21"/>
      <c r="F95" s="23"/>
      <c r="G95" s="22"/>
      <c r="H95" s="20"/>
      <c r="I95" s="21">
        <f t="shared" ref="I95:I105" si="26">SUM(P95:AT95)</f>
        <v>0</v>
      </c>
      <c r="J95" s="24" t="str">
        <f t="shared" ref="J95:J105" si="27">IFERROR(I95/H95,"")</f>
        <v/>
      </c>
      <c r="K95" s="25"/>
      <c r="L95" s="26">
        <f>IFERROR((K95*1.25)*G95,"")</f>
        <v>0</v>
      </c>
      <c r="M95" s="27" t="str">
        <f t="shared" ref="M95:M105" si="28">IF($E95="Méca",I95*G95+L95,"")</f>
        <v/>
      </c>
      <c r="N95" s="28" t="str">
        <f t="shared" ref="N95:N105" si="29">IF($E95="Calcul",I95*G95+L95,"")</f>
        <v/>
      </c>
      <c r="O95" s="29" t="str">
        <f t="shared" ref="O95:O105" si="30">IF($E95="Elec",I95*G95+L95,"")</f>
        <v/>
      </c>
      <c r="U95" s="6"/>
      <c r="V95" s="6"/>
      <c r="AB95" s="6"/>
      <c r="AC95" s="6"/>
      <c r="AI95" s="6"/>
      <c r="AJ95" s="6"/>
      <c r="AP95" s="6"/>
      <c r="AQ95" s="6"/>
      <c r="AW95" s="19">
        <f>AV95-I95</f>
        <v>0</v>
      </c>
    </row>
    <row r="96" spans="1:49" x14ac:dyDescent="0.3">
      <c r="A96" s="5" t="s">
        <v>23</v>
      </c>
      <c r="B96" s="20"/>
      <c r="C96" s="20"/>
      <c r="D96" s="20"/>
      <c r="E96" s="21"/>
      <c r="F96" s="23"/>
      <c r="G96" s="22"/>
      <c r="H96" s="20"/>
      <c r="I96" s="21">
        <f t="shared" si="26"/>
        <v>0</v>
      </c>
      <c r="J96" s="24" t="str">
        <f t="shared" si="27"/>
        <v/>
      </c>
      <c r="K96" s="25"/>
      <c r="L96" s="26">
        <f t="shared" ref="L96:L105" si="31">IFERROR((K96*1.25)*G96,"")</f>
        <v>0</v>
      </c>
      <c r="M96" s="27" t="str">
        <f t="shared" si="28"/>
        <v/>
      </c>
      <c r="N96" s="28" t="str">
        <f t="shared" si="29"/>
        <v/>
      </c>
      <c r="O96" s="29" t="str">
        <f t="shared" si="30"/>
        <v/>
      </c>
      <c r="U96" s="6"/>
      <c r="V96" s="6"/>
      <c r="AB96" s="6"/>
      <c r="AC96" s="6"/>
      <c r="AI96" s="6"/>
      <c r="AJ96" s="6"/>
      <c r="AP96" s="6"/>
      <c r="AQ96" s="6"/>
      <c r="AW96" s="19">
        <f t="shared" ref="AW96:AW105" si="32">AV96-I96</f>
        <v>0</v>
      </c>
    </row>
    <row r="97" spans="1:49" x14ac:dyDescent="0.3">
      <c r="A97" s="5" t="s">
        <v>23</v>
      </c>
      <c r="B97" s="20"/>
      <c r="C97" s="20"/>
      <c r="D97" s="20"/>
      <c r="E97" s="21"/>
      <c r="F97" s="23"/>
      <c r="G97" s="22"/>
      <c r="H97" s="20"/>
      <c r="I97" s="21">
        <f t="shared" si="26"/>
        <v>0</v>
      </c>
      <c r="J97" s="24" t="str">
        <f t="shared" si="27"/>
        <v/>
      </c>
      <c r="K97" s="25"/>
      <c r="L97" s="26">
        <f t="shared" si="31"/>
        <v>0</v>
      </c>
      <c r="M97" s="27" t="str">
        <f t="shared" si="28"/>
        <v/>
      </c>
      <c r="N97" s="28" t="str">
        <f t="shared" si="29"/>
        <v/>
      </c>
      <c r="O97" s="29" t="str">
        <f t="shared" si="30"/>
        <v/>
      </c>
      <c r="U97" s="6"/>
      <c r="V97" s="6"/>
      <c r="AB97" s="6"/>
      <c r="AC97" s="6"/>
      <c r="AI97" s="6"/>
      <c r="AJ97" s="6"/>
      <c r="AP97" s="6"/>
      <c r="AQ97" s="6"/>
      <c r="AW97" s="19">
        <f t="shared" si="32"/>
        <v>0</v>
      </c>
    </row>
    <row r="98" spans="1:49" x14ac:dyDescent="0.3">
      <c r="A98" s="5" t="s">
        <v>23</v>
      </c>
      <c r="B98" s="20"/>
      <c r="C98" s="20"/>
      <c r="D98" s="20"/>
      <c r="E98" s="21"/>
      <c r="F98" s="23"/>
      <c r="G98" s="22"/>
      <c r="H98" s="20"/>
      <c r="I98" s="21">
        <f t="shared" si="26"/>
        <v>0</v>
      </c>
      <c r="J98" s="24" t="str">
        <f t="shared" si="27"/>
        <v/>
      </c>
      <c r="K98" s="25"/>
      <c r="L98" s="26">
        <f t="shared" si="31"/>
        <v>0</v>
      </c>
      <c r="M98" s="27" t="str">
        <f t="shared" si="28"/>
        <v/>
      </c>
      <c r="N98" s="28" t="str">
        <f t="shared" si="29"/>
        <v/>
      </c>
      <c r="O98" s="29" t="str">
        <f t="shared" si="30"/>
        <v/>
      </c>
      <c r="U98" s="6"/>
      <c r="V98" s="6"/>
      <c r="AB98" s="6"/>
      <c r="AC98" s="6"/>
      <c r="AI98" s="6"/>
      <c r="AJ98" s="6"/>
      <c r="AP98" s="6"/>
      <c r="AQ98" s="6"/>
      <c r="AW98" s="19">
        <f t="shared" si="32"/>
        <v>0</v>
      </c>
    </row>
    <row r="99" spans="1:49" x14ac:dyDescent="0.3">
      <c r="A99" s="5" t="s">
        <v>23</v>
      </c>
      <c r="B99" s="20"/>
      <c r="C99" s="20"/>
      <c r="D99" s="20"/>
      <c r="E99" s="21"/>
      <c r="F99" s="23"/>
      <c r="G99" s="22"/>
      <c r="H99" s="20"/>
      <c r="I99" s="21">
        <f t="shared" si="26"/>
        <v>0</v>
      </c>
      <c r="J99" s="24" t="str">
        <f t="shared" si="27"/>
        <v/>
      </c>
      <c r="K99" s="25"/>
      <c r="L99" s="26">
        <f t="shared" si="31"/>
        <v>0</v>
      </c>
      <c r="M99" s="27" t="str">
        <f t="shared" si="28"/>
        <v/>
      </c>
      <c r="N99" s="28" t="str">
        <f t="shared" si="29"/>
        <v/>
      </c>
      <c r="O99" s="29" t="str">
        <f t="shared" si="30"/>
        <v/>
      </c>
      <c r="U99" s="6"/>
      <c r="V99" s="6"/>
      <c r="AB99" s="6"/>
      <c r="AC99" s="6"/>
      <c r="AI99" s="6"/>
      <c r="AJ99" s="6"/>
      <c r="AP99" s="6"/>
      <c r="AQ99" s="6"/>
      <c r="AW99" s="19">
        <f t="shared" si="32"/>
        <v>0</v>
      </c>
    </row>
    <row r="100" spans="1:49" x14ac:dyDescent="0.3">
      <c r="A100" s="5" t="s">
        <v>23</v>
      </c>
      <c r="B100" s="20"/>
      <c r="C100" s="20"/>
      <c r="D100" s="20"/>
      <c r="E100" s="21"/>
      <c r="F100" s="23"/>
      <c r="G100" s="22"/>
      <c r="H100" s="20"/>
      <c r="I100" s="21">
        <f t="shared" si="26"/>
        <v>0</v>
      </c>
      <c r="J100" s="24" t="str">
        <f t="shared" si="27"/>
        <v/>
      </c>
      <c r="K100" s="25"/>
      <c r="L100" s="26">
        <f t="shared" si="31"/>
        <v>0</v>
      </c>
      <c r="M100" s="27" t="str">
        <f t="shared" si="28"/>
        <v/>
      </c>
      <c r="N100" s="28" t="str">
        <f t="shared" si="29"/>
        <v/>
      </c>
      <c r="O100" s="29" t="str">
        <f t="shared" si="30"/>
        <v/>
      </c>
      <c r="U100" s="6"/>
      <c r="V100" s="6"/>
      <c r="AB100" s="6"/>
      <c r="AC100" s="6"/>
      <c r="AI100" s="6"/>
      <c r="AJ100" s="6"/>
      <c r="AP100" s="6"/>
      <c r="AQ100" s="6"/>
      <c r="AW100" s="19">
        <f t="shared" si="32"/>
        <v>0</v>
      </c>
    </row>
    <row r="101" spans="1:49" x14ac:dyDescent="0.3">
      <c r="A101" s="5" t="s">
        <v>23</v>
      </c>
      <c r="B101" s="20"/>
      <c r="C101" s="20"/>
      <c r="D101" s="20"/>
      <c r="E101" s="21"/>
      <c r="F101" s="23"/>
      <c r="G101" s="22"/>
      <c r="H101" s="20"/>
      <c r="I101" s="21">
        <f t="shared" si="26"/>
        <v>0</v>
      </c>
      <c r="J101" s="24" t="str">
        <f t="shared" si="27"/>
        <v/>
      </c>
      <c r="K101" s="25"/>
      <c r="L101" s="26">
        <f t="shared" si="31"/>
        <v>0</v>
      </c>
      <c r="M101" s="27" t="str">
        <f t="shared" si="28"/>
        <v/>
      </c>
      <c r="N101" s="28" t="str">
        <f t="shared" si="29"/>
        <v/>
      </c>
      <c r="O101" s="29" t="str">
        <f t="shared" si="30"/>
        <v/>
      </c>
      <c r="U101" s="6"/>
      <c r="V101" s="6"/>
      <c r="AB101" s="6"/>
      <c r="AC101" s="6"/>
      <c r="AI101" s="6"/>
      <c r="AJ101" s="6"/>
      <c r="AP101" s="6"/>
      <c r="AQ101" s="6"/>
      <c r="AW101" s="19">
        <f t="shared" si="32"/>
        <v>0</v>
      </c>
    </row>
    <row r="102" spans="1:49" x14ac:dyDescent="0.3">
      <c r="A102" s="5" t="s">
        <v>23</v>
      </c>
      <c r="B102" s="20"/>
      <c r="C102" s="20"/>
      <c r="D102" s="20"/>
      <c r="E102" s="21"/>
      <c r="F102" s="23"/>
      <c r="G102" s="22"/>
      <c r="H102" s="20"/>
      <c r="I102" s="21">
        <f t="shared" si="26"/>
        <v>0</v>
      </c>
      <c r="J102" s="24" t="str">
        <f t="shared" si="27"/>
        <v/>
      </c>
      <c r="K102" s="25"/>
      <c r="L102" s="26">
        <f t="shared" si="31"/>
        <v>0</v>
      </c>
      <c r="M102" s="27" t="str">
        <f t="shared" si="28"/>
        <v/>
      </c>
      <c r="N102" s="28" t="str">
        <f t="shared" si="29"/>
        <v/>
      </c>
      <c r="O102" s="29" t="str">
        <f t="shared" si="30"/>
        <v/>
      </c>
      <c r="U102" s="6"/>
      <c r="V102" s="6"/>
      <c r="AB102" s="6"/>
      <c r="AC102" s="6"/>
      <c r="AI102" s="6"/>
      <c r="AJ102" s="6"/>
      <c r="AP102" s="6"/>
      <c r="AQ102" s="6"/>
      <c r="AW102" s="19">
        <f t="shared" si="32"/>
        <v>0</v>
      </c>
    </row>
    <row r="103" spans="1:49" x14ac:dyDescent="0.3">
      <c r="A103" s="5" t="s">
        <v>23</v>
      </c>
      <c r="B103" s="20"/>
      <c r="C103" s="20"/>
      <c r="D103" s="20"/>
      <c r="E103" s="21"/>
      <c r="F103" s="23"/>
      <c r="G103" s="22"/>
      <c r="H103" s="20"/>
      <c r="I103" s="21">
        <f t="shared" si="26"/>
        <v>0</v>
      </c>
      <c r="J103" s="24" t="str">
        <f t="shared" si="27"/>
        <v/>
      </c>
      <c r="K103" s="25"/>
      <c r="L103" s="26">
        <f t="shared" si="31"/>
        <v>0</v>
      </c>
      <c r="M103" s="27" t="str">
        <f t="shared" si="28"/>
        <v/>
      </c>
      <c r="N103" s="28" t="str">
        <f t="shared" si="29"/>
        <v/>
      </c>
      <c r="O103" s="29" t="str">
        <f t="shared" si="30"/>
        <v/>
      </c>
      <c r="U103" s="6"/>
      <c r="V103" s="6"/>
      <c r="AB103" s="6"/>
      <c r="AC103" s="6"/>
      <c r="AI103" s="6"/>
      <c r="AJ103" s="6"/>
      <c r="AP103" s="6"/>
      <c r="AQ103" s="6"/>
      <c r="AW103" s="19">
        <f t="shared" si="32"/>
        <v>0</v>
      </c>
    </row>
    <row r="104" spans="1:49" x14ac:dyDescent="0.3">
      <c r="A104" s="5" t="s">
        <v>23</v>
      </c>
      <c r="B104" s="20"/>
      <c r="C104" s="20"/>
      <c r="D104" s="20"/>
      <c r="E104" s="21"/>
      <c r="F104" s="23"/>
      <c r="G104" s="22"/>
      <c r="H104" s="20"/>
      <c r="I104" s="21">
        <f t="shared" si="26"/>
        <v>0</v>
      </c>
      <c r="J104" s="24" t="str">
        <f t="shared" si="27"/>
        <v/>
      </c>
      <c r="K104" s="25"/>
      <c r="L104" s="26">
        <f t="shared" si="31"/>
        <v>0</v>
      </c>
      <c r="M104" s="27" t="str">
        <f t="shared" si="28"/>
        <v/>
      </c>
      <c r="N104" s="28" t="str">
        <f t="shared" si="29"/>
        <v/>
      </c>
      <c r="O104" s="29" t="str">
        <f t="shared" si="30"/>
        <v/>
      </c>
      <c r="U104" s="6"/>
      <c r="V104" s="6"/>
      <c r="AB104" s="6"/>
      <c r="AC104" s="6"/>
      <c r="AI104" s="6"/>
      <c r="AJ104" s="6"/>
      <c r="AP104" s="6"/>
      <c r="AQ104" s="6"/>
      <c r="AW104" s="19">
        <f t="shared" si="32"/>
        <v>0</v>
      </c>
    </row>
    <row r="105" spans="1:49" x14ac:dyDescent="0.3">
      <c r="A105" s="5" t="s">
        <v>23</v>
      </c>
      <c r="B105" s="20"/>
      <c r="C105" s="20"/>
      <c r="D105" s="20"/>
      <c r="E105" s="21"/>
      <c r="F105" s="23"/>
      <c r="G105" s="22"/>
      <c r="H105" s="20"/>
      <c r="I105" s="21">
        <f t="shared" si="26"/>
        <v>0</v>
      </c>
      <c r="J105" s="24" t="str">
        <f t="shared" si="27"/>
        <v/>
      </c>
      <c r="K105" s="25"/>
      <c r="L105" s="26">
        <f t="shared" si="31"/>
        <v>0</v>
      </c>
      <c r="M105" s="27" t="str">
        <f t="shared" si="28"/>
        <v/>
      </c>
      <c r="N105" s="28" t="str">
        <f t="shared" si="29"/>
        <v/>
      </c>
      <c r="O105" s="29" t="str">
        <f t="shared" si="30"/>
        <v/>
      </c>
      <c r="U105" s="6"/>
      <c r="V105" s="6"/>
      <c r="AB105" s="6"/>
      <c r="AC105" s="6"/>
      <c r="AI105" s="6"/>
      <c r="AJ105" s="6"/>
      <c r="AP105" s="6"/>
      <c r="AQ105" s="6"/>
      <c r="AW105" s="19">
        <f t="shared" si="32"/>
        <v>0</v>
      </c>
    </row>
    <row r="106" spans="1:49" ht="15.6" x14ac:dyDescent="0.3">
      <c r="I106" s="5">
        <f>SUM(I83:I93)+SUM(I95:I105)</f>
        <v>0</v>
      </c>
      <c r="M106" s="37">
        <f>SUM(M83:M105)</f>
        <v>0</v>
      </c>
      <c r="N106" s="38">
        <f>SUM(N83:N105)</f>
        <v>0</v>
      </c>
      <c r="O106" s="39">
        <f>SUM(O83:O105)</f>
        <v>0</v>
      </c>
      <c r="U106" s="6"/>
      <c r="V106" s="6"/>
      <c r="AB106" s="6"/>
      <c r="AC106" s="6"/>
      <c r="AI106" s="6"/>
      <c r="AJ106" s="6"/>
      <c r="AP106" s="6"/>
      <c r="AQ106" s="6"/>
    </row>
    <row r="107" spans="1:49" x14ac:dyDescent="0.3">
      <c r="K107" s="40" t="e">
        <f>(M106+N106+O106)/I106</f>
        <v>#DIV/0!</v>
      </c>
    </row>
    <row r="109" spans="1:49" x14ac:dyDescent="0.3">
      <c r="A109" s="50" t="s">
        <v>29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46"/>
      <c r="V109" s="46"/>
      <c r="W109" s="50"/>
      <c r="X109" s="50"/>
      <c r="Y109" s="50"/>
      <c r="Z109" s="50"/>
      <c r="AA109" s="50"/>
      <c r="AB109" s="46"/>
      <c r="AC109" s="46"/>
      <c r="AD109" s="50"/>
      <c r="AE109" s="50"/>
      <c r="AF109" s="50"/>
      <c r="AG109" s="50"/>
      <c r="AH109" s="50"/>
      <c r="AI109" s="46"/>
      <c r="AJ109" s="46"/>
      <c r="AK109" s="50"/>
      <c r="AL109" s="50"/>
      <c r="AM109" s="50"/>
      <c r="AN109" s="50"/>
      <c r="AO109" s="50"/>
      <c r="AP109" s="46"/>
      <c r="AQ109" s="46"/>
      <c r="AR109" s="50"/>
      <c r="AS109" s="50"/>
      <c r="AT109" s="50"/>
    </row>
    <row r="110" spans="1:49" x14ac:dyDescent="0.3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48"/>
      <c r="V110" s="48"/>
      <c r="W110" s="51"/>
      <c r="X110" s="51"/>
      <c r="Y110" s="51"/>
      <c r="Z110" s="51"/>
      <c r="AA110" s="51"/>
      <c r="AB110" s="48"/>
      <c r="AC110" s="48"/>
      <c r="AD110" s="51"/>
      <c r="AE110" s="51"/>
      <c r="AF110" s="51"/>
      <c r="AG110" s="51"/>
      <c r="AH110" s="51"/>
      <c r="AI110" s="48"/>
      <c r="AJ110" s="48"/>
      <c r="AK110" s="51"/>
      <c r="AL110" s="51"/>
      <c r="AM110" s="51"/>
      <c r="AN110" s="51"/>
      <c r="AO110" s="51"/>
      <c r="AP110" s="48"/>
      <c r="AQ110" s="48"/>
      <c r="AR110" s="51"/>
      <c r="AS110" s="51"/>
      <c r="AT110" s="51"/>
    </row>
    <row r="112" spans="1:49" ht="21" x14ac:dyDescent="0.4">
      <c r="A112" s="42" t="s">
        <v>27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3"/>
      <c r="V112" s="43"/>
      <c r="W112" s="42"/>
      <c r="X112" s="42"/>
      <c r="Y112" s="42"/>
      <c r="Z112" s="42"/>
      <c r="AA112" s="42"/>
      <c r="AB112" s="43"/>
      <c r="AC112" s="43"/>
      <c r="AD112" s="42"/>
      <c r="AE112" s="42"/>
      <c r="AF112" s="42"/>
      <c r="AG112" s="42"/>
      <c r="AH112" s="42"/>
      <c r="AI112" s="43"/>
      <c r="AJ112" s="43"/>
      <c r="AK112" s="42"/>
      <c r="AL112" s="42"/>
      <c r="AM112" s="42"/>
      <c r="AN112" s="42"/>
      <c r="AO112" s="42"/>
      <c r="AP112" s="43"/>
      <c r="AQ112" s="43"/>
      <c r="AR112" s="42"/>
      <c r="AS112" s="42"/>
      <c r="AT112" s="42"/>
    </row>
    <row r="113" spans="1:49" x14ac:dyDescent="0.3">
      <c r="A113" s="5" t="s">
        <v>23</v>
      </c>
      <c r="B113" s="20"/>
      <c r="C113" s="20"/>
      <c r="D113" s="20"/>
      <c r="E113" s="21" t="str">
        <f>IFERROR(VLOOKUP(D113,[1]Données!A:B,2,FALSE),"")</f>
        <v/>
      </c>
      <c r="F113" s="22"/>
      <c r="G113" s="23" t="str">
        <f t="shared" ref="G113:G123" si="33">IFERROR(F113/H113,"")</f>
        <v/>
      </c>
      <c r="H113" s="20"/>
      <c r="I113" s="21">
        <f>SUM(P113:AT113)</f>
        <v>0</v>
      </c>
      <c r="J113" s="24" t="str">
        <f t="shared" ref="J113:J123" si="34">IFERROR(I113/H113,"")</f>
        <v/>
      </c>
      <c r="K113" s="25"/>
      <c r="L113" s="26" t="str">
        <f>IFERROR((K113*1.25)*G113,"")</f>
        <v/>
      </c>
      <c r="M113" s="27" t="str">
        <f>IF($E113="Méca",I113*G113+L113,"")</f>
        <v/>
      </c>
      <c r="N113" s="28" t="str">
        <f>IF($E113="Calcul",I113*G113+L113,"")</f>
        <v/>
      </c>
      <c r="O113" s="29" t="str">
        <f>IF($E113="Elec",I113*G113+L113,"")</f>
        <v/>
      </c>
      <c r="U113" s="6"/>
      <c r="V113" s="6"/>
      <c r="AB113" s="6"/>
      <c r="AC113" s="6"/>
      <c r="AI113" s="6"/>
      <c r="AJ113" s="6"/>
      <c r="AP113" s="6"/>
      <c r="AQ113" s="6"/>
      <c r="AV113" s="5">
        <v>0</v>
      </c>
      <c r="AW113" s="19" t="e">
        <f>AV113-J113</f>
        <v>#VALUE!</v>
      </c>
    </row>
    <row r="114" spans="1:49" x14ac:dyDescent="0.3">
      <c r="A114" s="5" t="s">
        <v>23</v>
      </c>
      <c r="B114" s="20"/>
      <c r="C114" s="20"/>
      <c r="D114" s="20"/>
      <c r="E114" s="21" t="str">
        <f>IFERROR(VLOOKUP(D114,[1]Données!A:B,2,FALSE),"")</f>
        <v/>
      </c>
      <c r="F114" s="22"/>
      <c r="G114" s="23" t="str">
        <f t="shared" si="33"/>
        <v/>
      </c>
      <c r="H114" s="20"/>
      <c r="I114" s="21">
        <f t="shared" ref="I114" si="35">SUM(P114:AT114)</f>
        <v>0</v>
      </c>
      <c r="J114" s="24" t="str">
        <f t="shared" si="34"/>
        <v/>
      </c>
      <c r="K114" s="25"/>
      <c r="L114" s="26" t="str">
        <f t="shared" ref="L114:L123" si="36">IFERROR((K114*1.25)*G114,"")</f>
        <v/>
      </c>
      <c r="M114" s="33" t="str">
        <f t="shared" ref="M114:M123" si="37">IF($E114="Méca",I114*G114+L114,"")</f>
        <v/>
      </c>
      <c r="N114" s="30" t="str">
        <f t="shared" ref="N114:N123" si="38">IF($E114="Calcul",I114*G114+L114,"")</f>
        <v/>
      </c>
      <c r="O114" s="41" t="str">
        <f t="shared" ref="O114:O123" si="39">IF($E114="Elec",I114*G114+L114,"")</f>
        <v/>
      </c>
      <c r="U114" s="6"/>
      <c r="V114" s="6"/>
      <c r="AB114" s="6"/>
      <c r="AC114" s="6"/>
      <c r="AI114" s="6"/>
      <c r="AJ114" s="6"/>
      <c r="AP114" s="6"/>
      <c r="AQ114" s="6"/>
      <c r="AV114" s="5">
        <v>0</v>
      </c>
      <c r="AW114" s="19" t="e">
        <f t="shared" ref="AW114:AW123" si="40">AV114-J114</f>
        <v>#VALUE!</v>
      </c>
    </row>
    <row r="115" spans="1:49" x14ac:dyDescent="0.3">
      <c r="A115" s="5" t="s">
        <v>23</v>
      </c>
      <c r="B115" s="20"/>
      <c r="C115" s="20"/>
      <c r="D115" s="20"/>
      <c r="E115" s="21" t="str">
        <f>IFERROR(VLOOKUP(D115,[1]Données!A:B,2,FALSE),"")</f>
        <v/>
      </c>
      <c r="F115" s="22"/>
      <c r="G115" s="23" t="str">
        <f t="shared" si="33"/>
        <v/>
      </c>
      <c r="H115" s="20"/>
      <c r="I115" s="21">
        <f>SUM(P115:AT115)</f>
        <v>0</v>
      </c>
      <c r="J115" s="24" t="str">
        <f t="shared" si="34"/>
        <v/>
      </c>
      <c r="K115" s="25"/>
      <c r="L115" s="26" t="str">
        <f t="shared" si="36"/>
        <v/>
      </c>
      <c r="M115" s="33" t="str">
        <f t="shared" si="37"/>
        <v/>
      </c>
      <c r="N115" s="30" t="str">
        <f t="shared" si="38"/>
        <v/>
      </c>
      <c r="O115" s="41" t="str">
        <f t="shared" si="39"/>
        <v/>
      </c>
      <c r="U115" s="6"/>
      <c r="V115" s="6"/>
      <c r="AB115" s="6"/>
      <c r="AC115" s="6"/>
      <c r="AI115" s="6"/>
      <c r="AJ115" s="6"/>
      <c r="AP115" s="6"/>
      <c r="AQ115" s="6"/>
      <c r="AV115" s="5">
        <v>0</v>
      </c>
      <c r="AW115" s="19" t="e">
        <f t="shared" si="40"/>
        <v>#VALUE!</v>
      </c>
    </row>
    <row r="116" spans="1:49" x14ac:dyDescent="0.3">
      <c r="A116" s="5" t="s">
        <v>23</v>
      </c>
      <c r="B116" s="20"/>
      <c r="C116" s="20"/>
      <c r="D116" s="20"/>
      <c r="E116" s="21" t="str">
        <f>IFERROR(VLOOKUP(D116,[1]Données!A:B,2,FALSE),"")</f>
        <v/>
      </c>
      <c r="F116" s="22"/>
      <c r="G116" s="23" t="str">
        <f t="shared" si="33"/>
        <v/>
      </c>
      <c r="H116" s="20"/>
      <c r="I116" s="21">
        <f t="shared" ref="I116:I123" si="41">SUM(P116:AT116)</f>
        <v>0</v>
      </c>
      <c r="J116" s="24" t="str">
        <f t="shared" si="34"/>
        <v/>
      </c>
      <c r="K116" s="25"/>
      <c r="L116" s="26" t="str">
        <f t="shared" si="36"/>
        <v/>
      </c>
      <c r="M116" s="33" t="str">
        <f t="shared" si="37"/>
        <v/>
      </c>
      <c r="N116" s="30" t="str">
        <f t="shared" si="38"/>
        <v/>
      </c>
      <c r="O116" s="41" t="str">
        <f t="shared" si="39"/>
        <v/>
      </c>
      <c r="U116" s="6"/>
      <c r="V116" s="6"/>
      <c r="AB116" s="6"/>
      <c r="AC116" s="6"/>
      <c r="AI116" s="6"/>
      <c r="AJ116" s="6"/>
      <c r="AP116" s="6"/>
      <c r="AQ116" s="6"/>
      <c r="AV116" s="5">
        <v>0</v>
      </c>
      <c r="AW116" s="19" t="e">
        <f t="shared" si="40"/>
        <v>#VALUE!</v>
      </c>
    </row>
    <row r="117" spans="1:49" x14ac:dyDescent="0.3">
      <c r="A117" s="5" t="s">
        <v>23</v>
      </c>
      <c r="B117" s="20"/>
      <c r="C117" s="20"/>
      <c r="D117" s="20"/>
      <c r="E117" s="21" t="str">
        <f>IFERROR(VLOOKUP(D117,[1]Données!A:B,2,FALSE),"")</f>
        <v/>
      </c>
      <c r="F117" s="22"/>
      <c r="G117" s="23" t="str">
        <f t="shared" si="33"/>
        <v/>
      </c>
      <c r="H117" s="20"/>
      <c r="I117" s="21">
        <f t="shared" si="41"/>
        <v>0</v>
      </c>
      <c r="J117" s="24" t="str">
        <f t="shared" si="34"/>
        <v/>
      </c>
      <c r="K117" s="25"/>
      <c r="L117" s="26" t="str">
        <f t="shared" si="36"/>
        <v/>
      </c>
      <c r="M117" s="33" t="str">
        <f t="shared" si="37"/>
        <v/>
      </c>
      <c r="N117" s="30" t="str">
        <f t="shared" si="38"/>
        <v/>
      </c>
      <c r="O117" s="41" t="str">
        <f t="shared" si="39"/>
        <v/>
      </c>
      <c r="U117" s="6"/>
      <c r="V117" s="6"/>
      <c r="AB117" s="6"/>
      <c r="AC117" s="6"/>
      <c r="AI117" s="6"/>
      <c r="AJ117" s="6"/>
      <c r="AP117" s="6"/>
      <c r="AQ117" s="6"/>
      <c r="AV117" s="5">
        <v>0</v>
      </c>
      <c r="AW117" s="19" t="e">
        <f t="shared" si="40"/>
        <v>#VALUE!</v>
      </c>
    </row>
    <row r="118" spans="1:49" x14ac:dyDescent="0.3">
      <c r="A118" s="5" t="s">
        <v>23</v>
      </c>
      <c r="B118" s="20"/>
      <c r="C118" s="20"/>
      <c r="D118" s="20"/>
      <c r="E118" s="21" t="str">
        <f>IFERROR(VLOOKUP(D118,[1]Données!A:B,2,FALSE),"")</f>
        <v/>
      </c>
      <c r="F118" s="22"/>
      <c r="G118" s="23" t="str">
        <f t="shared" si="33"/>
        <v/>
      </c>
      <c r="H118" s="20"/>
      <c r="I118" s="21">
        <f t="shared" si="41"/>
        <v>0</v>
      </c>
      <c r="J118" s="24" t="str">
        <f t="shared" si="34"/>
        <v/>
      </c>
      <c r="K118" s="25"/>
      <c r="L118" s="26" t="str">
        <f t="shared" si="36"/>
        <v/>
      </c>
      <c r="M118" s="33" t="str">
        <f t="shared" si="37"/>
        <v/>
      </c>
      <c r="N118" s="30" t="str">
        <f t="shared" si="38"/>
        <v/>
      </c>
      <c r="O118" s="41" t="str">
        <f t="shared" si="39"/>
        <v/>
      </c>
      <c r="U118" s="6"/>
      <c r="V118" s="6"/>
      <c r="AB118" s="6"/>
      <c r="AC118" s="6"/>
      <c r="AI118" s="6"/>
      <c r="AJ118" s="6"/>
      <c r="AP118" s="6"/>
      <c r="AQ118" s="6"/>
      <c r="AV118" s="5">
        <v>0</v>
      </c>
      <c r="AW118" s="19" t="e">
        <f t="shared" si="40"/>
        <v>#VALUE!</v>
      </c>
    </row>
    <row r="119" spans="1:49" x14ac:dyDescent="0.3">
      <c r="A119" s="5" t="s">
        <v>23</v>
      </c>
      <c r="B119" s="20"/>
      <c r="C119" s="20"/>
      <c r="D119" s="20"/>
      <c r="E119" s="21" t="str">
        <f>IFERROR(VLOOKUP(D119,[1]Données!A:B,2,FALSE),"")</f>
        <v/>
      </c>
      <c r="F119" s="22"/>
      <c r="G119" s="23" t="str">
        <f t="shared" si="33"/>
        <v/>
      </c>
      <c r="H119" s="20"/>
      <c r="I119" s="21">
        <f t="shared" si="41"/>
        <v>0</v>
      </c>
      <c r="J119" s="24" t="str">
        <f t="shared" si="34"/>
        <v/>
      </c>
      <c r="K119" s="25"/>
      <c r="L119" s="26" t="str">
        <f t="shared" si="36"/>
        <v/>
      </c>
      <c r="M119" s="33" t="str">
        <f t="shared" si="37"/>
        <v/>
      </c>
      <c r="N119" s="30" t="str">
        <f t="shared" si="38"/>
        <v/>
      </c>
      <c r="O119" s="41" t="str">
        <f t="shared" si="39"/>
        <v/>
      </c>
      <c r="U119" s="6"/>
      <c r="V119" s="6"/>
      <c r="AB119" s="6"/>
      <c r="AC119" s="6"/>
      <c r="AI119" s="6"/>
      <c r="AJ119" s="6"/>
      <c r="AP119" s="6"/>
      <c r="AQ119" s="6"/>
      <c r="AV119" s="5">
        <v>0</v>
      </c>
      <c r="AW119" s="19" t="e">
        <f t="shared" si="40"/>
        <v>#VALUE!</v>
      </c>
    </row>
    <row r="120" spans="1:49" x14ac:dyDescent="0.3">
      <c r="A120" s="5" t="s">
        <v>23</v>
      </c>
      <c r="B120" s="20"/>
      <c r="C120" s="20"/>
      <c r="D120" s="20"/>
      <c r="E120" s="21" t="str">
        <f>IFERROR(VLOOKUP(D120,[1]Données!A:B,2,FALSE),"")</f>
        <v/>
      </c>
      <c r="F120" s="22"/>
      <c r="G120" s="23" t="str">
        <f t="shared" si="33"/>
        <v/>
      </c>
      <c r="H120" s="20"/>
      <c r="I120" s="21">
        <f t="shared" si="41"/>
        <v>0</v>
      </c>
      <c r="J120" s="24" t="str">
        <f t="shared" si="34"/>
        <v/>
      </c>
      <c r="K120" s="25"/>
      <c r="L120" s="26" t="str">
        <f t="shared" si="36"/>
        <v/>
      </c>
      <c r="M120" s="33" t="str">
        <f t="shared" si="37"/>
        <v/>
      </c>
      <c r="N120" s="30" t="str">
        <f t="shared" si="38"/>
        <v/>
      </c>
      <c r="O120" s="41" t="str">
        <f t="shared" si="39"/>
        <v/>
      </c>
      <c r="U120" s="6"/>
      <c r="V120" s="6"/>
      <c r="AB120" s="6"/>
      <c r="AC120" s="6"/>
      <c r="AI120" s="6"/>
      <c r="AJ120" s="6"/>
      <c r="AP120" s="6"/>
      <c r="AQ120" s="6"/>
      <c r="AV120" s="5">
        <v>0</v>
      </c>
      <c r="AW120" s="19" t="e">
        <f t="shared" si="40"/>
        <v>#VALUE!</v>
      </c>
    </row>
    <row r="121" spans="1:49" x14ac:dyDescent="0.3">
      <c r="A121" s="5" t="s">
        <v>23</v>
      </c>
      <c r="B121" s="20"/>
      <c r="C121" s="20"/>
      <c r="D121" s="20"/>
      <c r="E121" s="21" t="str">
        <f>IFERROR(VLOOKUP(D121,[1]Données!A:B,2,FALSE),"")</f>
        <v/>
      </c>
      <c r="F121" s="22"/>
      <c r="G121" s="23" t="str">
        <f t="shared" si="33"/>
        <v/>
      </c>
      <c r="H121" s="20"/>
      <c r="I121" s="21">
        <f t="shared" si="41"/>
        <v>0</v>
      </c>
      <c r="J121" s="24" t="str">
        <f t="shared" si="34"/>
        <v/>
      </c>
      <c r="K121" s="25"/>
      <c r="L121" s="26" t="str">
        <f t="shared" si="36"/>
        <v/>
      </c>
      <c r="M121" s="33" t="str">
        <f t="shared" si="37"/>
        <v/>
      </c>
      <c r="N121" s="30" t="str">
        <f t="shared" si="38"/>
        <v/>
      </c>
      <c r="O121" s="41" t="str">
        <f t="shared" si="39"/>
        <v/>
      </c>
      <c r="U121" s="6"/>
      <c r="V121" s="6"/>
      <c r="AB121" s="6"/>
      <c r="AC121" s="6"/>
      <c r="AI121" s="6"/>
      <c r="AJ121" s="6"/>
      <c r="AP121" s="6"/>
      <c r="AQ121" s="6"/>
      <c r="AV121" s="5">
        <v>0</v>
      </c>
      <c r="AW121" s="19" t="e">
        <f t="shared" si="40"/>
        <v>#VALUE!</v>
      </c>
    </row>
    <row r="122" spans="1:49" x14ac:dyDescent="0.3">
      <c r="A122" s="5" t="s">
        <v>23</v>
      </c>
      <c r="B122" s="20"/>
      <c r="C122" s="20"/>
      <c r="D122" s="20"/>
      <c r="E122" s="21" t="str">
        <f>IFERROR(VLOOKUP(D122,[1]Données!A:B,2,FALSE),"")</f>
        <v/>
      </c>
      <c r="F122" s="22"/>
      <c r="G122" s="23" t="str">
        <f t="shared" si="33"/>
        <v/>
      </c>
      <c r="H122" s="20"/>
      <c r="I122" s="21">
        <f t="shared" si="41"/>
        <v>0</v>
      </c>
      <c r="J122" s="24" t="str">
        <f t="shared" si="34"/>
        <v/>
      </c>
      <c r="K122" s="25"/>
      <c r="L122" s="26" t="str">
        <f t="shared" si="36"/>
        <v/>
      </c>
      <c r="M122" s="33" t="str">
        <f t="shared" si="37"/>
        <v/>
      </c>
      <c r="N122" s="30" t="str">
        <f t="shared" si="38"/>
        <v/>
      </c>
      <c r="O122" s="41" t="str">
        <f t="shared" si="39"/>
        <v/>
      </c>
      <c r="U122" s="6"/>
      <c r="V122" s="6"/>
      <c r="AB122" s="6"/>
      <c r="AC122" s="6"/>
      <c r="AI122" s="6"/>
      <c r="AJ122" s="6"/>
      <c r="AP122" s="6"/>
      <c r="AQ122" s="6"/>
      <c r="AV122" s="5">
        <v>0</v>
      </c>
      <c r="AW122" s="19" t="e">
        <f t="shared" si="40"/>
        <v>#VALUE!</v>
      </c>
    </row>
    <row r="123" spans="1:49" x14ac:dyDescent="0.3">
      <c r="A123" s="5" t="s">
        <v>23</v>
      </c>
      <c r="B123" s="20"/>
      <c r="C123" s="20"/>
      <c r="D123" s="20"/>
      <c r="E123" s="21" t="str">
        <f>IFERROR(VLOOKUP(D123,[1]Données!A:B,2,FALSE),"")</f>
        <v/>
      </c>
      <c r="F123" s="22"/>
      <c r="G123" s="23" t="str">
        <f t="shared" si="33"/>
        <v/>
      </c>
      <c r="H123" s="20"/>
      <c r="I123" s="21">
        <f t="shared" si="41"/>
        <v>0</v>
      </c>
      <c r="J123" s="24" t="str">
        <f t="shared" si="34"/>
        <v/>
      </c>
      <c r="K123" s="25"/>
      <c r="L123" s="26" t="str">
        <f t="shared" si="36"/>
        <v/>
      </c>
      <c r="M123" s="33" t="str">
        <f t="shared" si="37"/>
        <v/>
      </c>
      <c r="N123" s="30" t="str">
        <f t="shared" si="38"/>
        <v/>
      </c>
      <c r="O123" s="41" t="str">
        <f t="shared" si="39"/>
        <v/>
      </c>
      <c r="U123" s="6"/>
      <c r="V123" s="6"/>
      <c r="AB123" s="6"/>
      <c r="AC123" s="6"/>
      <c r="AI123" s="6"/>
      <c r="AJ123" s="6"/>
      <c r="AP123" s="6"/>
      <c r="AQ123" s="6"/>
      <c r="AV123" s="5">
        <v>0</v>
      </c>
      <c r="AW123" s="19" t="e">
        <f t="shared" si="40"/>
        <v>#VALUE!</v>
      </c>
    </row>
    <row r="124" spans="1:49" ht="21" x14ac:dyDescent="0.4">
      <c r="A124" s="42" t="s">
        <v>28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3"/>
      <c r="V124" s="43"/>
      <c r="W124" s="42"/>
      <c r="X124" s="42"/>
      <c r="Y124" s="42"/>
      <c r="Z124" s="42"/>
      <c r="AA124" s="42"/>
      <c r="AB124" s="43"/>
      <c r="AC124" s="43"/>
      <c r="AD124" s="42"/>
      <c r="AE124" s="42"/>
      <c r="AF124" s="42"/>
      <c r="AG124" s="42"/>
      <c r="AH124" s="42"/>
      <c r="AI124" s="43"/>
      <c r="AJ124" s="43"/>
      <c r="AK124" s="42"/>
      <c r="AL124" s="42"/>
      <c r="AM124" s="42"/>
      <c r="AN124" s="42"/>
      <c r="AO124" s="42"/>
      <c r="AP124" s="43"/>
      <c r="AQ124" s="43"/>
      <c r="AR124" s="42"/>
      <c r="AS124" s="42"/>
      <c r="AT124" s="42"/>
    </row>
    <row r="125" spans="1:49" x14ac:dyDescent="0.3">
      <c r="A125" s="5" t="s">
        <v>23</v>
      </c>
      <c r="B125" s="20"/>
      <c r="C125" s="20"/>
      <c r="D125" s="20"/>
      <c r="E125" s="21" t="str">
        <f>IFERROR(VLOOKUP(D125,[1]Données!A:B,2,FALSE),"")</f>
        <v/>
      </c>
      <c r="F125" s="23">
        <v>0</v>
      </c>
      <c r="G125" s="22"/>
      <c r="H125" s="20"/>
      <c r="I125" s="21">
        <f t="shared" ref="I125:I126" si="42">SUM(P125:AT125)</f>
        <v>0</v>
      </c>
      <c r="J125" s="24" t="str">
        <f t="shared" ref="J125:J126" si="43">IFERROR(I125/H125,"")</f>
        <v/>
      </c>
      <c r="K125" s="25"/>
      <c r="L125" s="26">
        <f>IFERROR((K125*1.25)*G125,"")</f>
        <v>0</v>
      </c>
      <c r="M125" s="27" t="str">
        <f t="shared" ref="M125:M126" si="44">IF($E125="Méca",I125*G125+L125,"")</f>
        <v/>
      </c>
      <c r="N125" s="28" t="str">
        <f t="shared" ref="N125:N126" si="45">IF($E125="Calcul",I125*G125+L125,"")</f>
        <v/>
      </c>
      <c r="O125" s="29" t="str">
        <f t="shared" ref="O125:O126" si="46">IF($E125="Elec",I125*G125+L125,"")</f>
        <v/>
      </c>
      <c r="U125" s="6"/>
      <c r="V125" s="6"/>
      <c r="AB125" s="6"/>
      <c r="AC125" s="6"/>
      <c r="AI125" s="6"/>
      <c r="AJ125" s="6"/>
      <c r="AP125" s="6"/>
      <c r="AQ125" s="6"/>
      <c r="AV125" s="5">
        <v>0</v>
      </c>
      <c r="AW125" s="19">
        <f t="shared" ref="AW125:AW132" si="47">AV125-I125</f>
        <v>0</v>
      </c>
    </row>
    <row r="126" spans="1:49" x14ac:dyDescent="0.3">
      <c r="A126" s="5" t="s">
        <v>23</v>
      </c>
      <c r="B126" s="20"/>
      <c r="C126" s="20"/>
      <c r="D126" s="20"/>
      <c r="E126" s="21" t="str">
        <f>IFERROR(VLOOKUP(D126,[1]Données!A:B,2,FALSE),"")</f>
        <v/>
      </c>
      <c r="F126" s="23">
        <f t="shared" ref="F126" si="48">G126*H126</f>
        <v>0</v>
      </c>
      <c r="G126" s="22"/>
      <c r="H126" s="20"/>
      <c r="I126" s="21">
        <f t="shared" si="42"/>
        <v>0</v>
      </c>
      <c r="J126" s="24" t="str">
        <f t="shared" si="43"/>
        <v/>
      </c>
      <c r="K126" s="25"/>
      <c r="L126" s="26">
        <f>IFERROR((K126*1.25)*G126,"")</f>
        <v>0</v>
      </c>
      <c r="M126" s="27" t="str">
        <f t="shared" si="44"/>
        <v/>
      </c>
      <c r="N126" s="28" t="str">
        <f t="shared" si="45"/>
        <v/>
      </c>
      <c r="O126" s="29" t="str">
        <f t="shared" si="46"/>
        <v/>
      </c>
      <c r="U126" s="6"/>
      <c r="V126" s="6"/>
      <c r="AB126" s="6"/>
      <c r="AC126" s="6"/>
      <c r="AI126" s="6"/>
      <c r="AJ126" s="6"/>
      <c r="AP126" s="6"/>
      <c r="AQ126" s="6"/>
      <c r="AV126" s="5">
        <v>0</v>
      </c>
      <c r="AW126" s="19">
        <f t="shared" si="47"/>
        <v>0</v>
      </c>
    </row>
    <row r="127" spans="1:49" x14ac:dyDescent="0.3">
      <c r="A127" s="5" t="s">
        <v>23</v>
      </c>
      <c r="B127" s="20"/>
      <c r="C127" s="20"/>
      <c r="D127" s="20"/>
      <c r="E127" s="21" t="str">
        <f>IFERROR(VLOOKUP(D127,[1]Données!A:B,2,FALSE),"")</f>
        <v/>
      </c>
      <c r="F127" s="23">
        <f>G127*H127</f>
        <v>0</v>
      </c>
      <c r="G127" s="22"/>
      <c r="H127" s="20"/>
      <c r="I127" s="21">
        <f>SUM(P127:AT127)</f>
        <v>0</v>
      </c>
      <c r="J127" s="24" t="str">
        <f>IFERROR(I127/H127,"")</f>
        <v/>
      </c>
      <c r="K127" s="25"/>
      <c r="L127" s="26">
        <f>IFERROR((K127*1.25)*G127,"")</f>
        <v>0</v>
      </c>
      <c r="M127" s="27" t="str">
        <f>IF($E127="Méca",I127*G127+L127,"")</f>
        <v/>
      </c>
      <c r="N127" s="28" t="str">
        <f>IF($E127="Calcul",I127*G127+L127,"")</f>
        <v/>
      </c>
      <c r="O127" s="29" t="str">
        <f>IF($E127="Elec",I127*G127+L127,"")</f>
        <v/>
      </c>
      <c r="U127" s="6"/>
      <c r="V127" s="6"/>
      <c r="AB127" s="6"/>
      <c r="AC127" s="6"/>
      <c r="AI127" s="6"/>
      <c r="AJ127" s="6"/>
      <c r="AP127" s="6"/>
      <c r="AQ127" s="6"/>
      <c r="AV127" s="5">
        <v>0</v>
      </c>
      <c r="AW127" s="19">
        <f t="shared" si="47"/>
        <v>0</v>
      </c>
    </row>
    <row r="128" spans="1:49" x14ac:dyDescent="0.3">
      <c r="A128" s="5" t="s">
        <v>23</v>
      </c>
      <c r="B128" s="20"/>
      <c r="C128" s="20"/>
      <c r="D128" s="20"/>
      <c r="E128" s="21" t="str">
        <f>IFERROR(VLOOKUP(D128,[1]Données!A:B,2,FALSE),"")</f>
        <v/>
      </c>
      <c r="F128" s="23">
        <f>G128*H128</f>
        <v>0</v>
      </c>
      <c r="G128" s="22"/>
      <c r="H128" s="20"/>
      <c r="I128" s="21">
        <f t="shared" ref="I128:I129" si="49">SUM(P128:AT128)</f>
        <v>0</v>
      </c>
      <c r="J128" s="24" t="str">
        <f t="shared" ref="J128:J129" si="50">IFERROR(I128/H128,"")</f>
        <v/>
      </c>
      <c r="K128" s="25"/>
      <c r="L128" s="26">
        <f t="shared" ref="L128:L129" si="51">IFERROR((K128*1.25)*G128,"")</f>
        <v>0</v>
      </c>
      <c r="M128" s="27" t="str">
        <f t="shared" ref="M128:M129" si="52">IF($E128="Méca",I128*G128+L128,"")</f>
        <v/>
      </c>
      <c r="N128" s="28" t="str">
        <f t="shared" ref="N128:N129" si="53">IF($E128="Calcul",I128*G128+L128,"")</f>
        <v/>
      </c>
      <c r="O128" s="29" t="str">
        <f t="shared" ref="O128:O129" si="54">IF($E128="Elec",I128*G128+L128,"")</f>
        <v/>
      </c>
      <c r="U128" s="6"/>
      <c r="V128" s="6"/>
      <c r="AB128" s="6"/>
      <c r="AC128" s="6"/>
      <c r="AI128" s="6"/>
      <c r="AJ128" s="6"/>
      <c r="AP128" s="6"/>
      <c r="AQ128" s="6"/>
      <c r="AV128" s="5">
        <v>0</v>
      </c>
      <c r="AW128" s="19">
        <f t="shared" si="47"/>
        <v>0</v>
      </c>
    </row>
    <row r="129" spans="1:49" x14ac:dyDescent="0.3">
      <c r="A129" s="5" t="s">
        <v>23</v>
      </c>
      <c r="B129" s="20"/>
      <c r="C129" s="20"/>
      <c r="D129" s="20"/>
      <c r="E129" s="21" t="str">
        <f>IFERROR(VLOOKUP(D129,[1]Données!A:B,2,FALSE),"")</f>
        <v/>
      </c>
      <c r="F129" s="23">
        <f>G129*H129</f>
        <v>0</v>
      </c>
      <c r="G129" s="22"/>
      <c r="H129" s="20"/>
      <c r="I129" s="21">
        <f t="shared" si="49"/>
        <v>0</v>
      </c>
      <c r="J129" s="24" t="str">
        <f t="shared" si="50"/>
        <v/>
      </c>
      <c r="K129" s="25"/>
      <c r="L129" s="26">
        <f t="shared" si="51"/>
        <v>0</v>
      </c>
      <c r="M129" s="27" t="str">
        <f t="shared" si="52"/>
        <v/>
      </c>
      <c r="N129" s="28" t="str">
        <f t="shared" si="53"/>
        <v/>
      </c>
      <c r="O129" s="29" t="str">
        <f t="shared" si="54"/>
        <v/>
      </c>
      <c r="U129" s="6"/>
      <c r="V129" s="6"/>
      <c r="AB129" s="6"/>
      <c r="AC129" s="6"/>
      <c r="AI129" s="6"/>
      <c r="AJ129" s="6"/>
      <c r="AP129" s="6"/>
      <c r="AQ129" s="6"/>
      <c r="AV129" s="5">
        <v>0</v>
      </c>
      <c r="AW129" s="19">
        <f t="shared" si="47"/>
        <v>0</v>
      </c>
    </row>
    <row r="130" spans="1:49" x14ac:dyDescent="0.3">
      <c r="A130" s="5" t="s">
        <v>23</v>
      </c>
      <c r="B130" s="20"/>
      <c r="C130" s="20"/>
      <c r="D130" s="20"/>
      <c r="E130" s="21" t="str">
        <f>IFERROR(VLOOKUP(D130,[1]Données!A:B,2,FALSE),"")</f>
        <v/>
      </c>
      <c r="F130" s="23">
        <f t="shared" ref="F130:F132" si="55">G130*H130</f>
        <v>0</v>
      </c>
      <c r="G130" s="22"/>
      <c r="H130" s="20"/>
      <c r="I130" s="21">
        <f>SUM(P130:AT130)</f>
        <v>0</v>
      </c>
      <c r="J130" s="24" t="str">
        <f>IFERROR(I130/H130,"")</f>
        <v/>
      </c>
      <c r="K130" s="25"/>
      <c r="L130" s="26">
        <f>IFERROR((K130*1.25)*G130,"")</f>
        <v>0</v>
      </c>
      <c r="M130" s="27" t="str">
        <f>IF($E130="Méca",I130*G130+L130,"")</f>
        <v/>
      </c>
      <c r="N130" s="28" t="str">
        <f>IF($E130="Calcul",I130*G130+L130,"")</f>
        <v/>
      </c>
      <c r="O130" s="29" t="str">
        <f>IF($E130="Elec",I130*G130+L130,"")</f>
        <v/>
      </c>
      <c r="U130" s="6"/>
      <c r="V130" s="6"/>
      <c r="AB130" s="6"/>
      <c r="AC130" s="6"/>
      <c r="AI130" s="6"/>
      <c r="AJ130" s="6"/>
      <c r="AP130" s="6"/>
      <c r="AQ130" s="6"/>
      <c r="AV130" s="5">
        <v>0</v>
      </c>
      <c r="AW130" s="19">
        <f t="shared" si="47"/>
        <v>0</v>
      </c>
    </row>
    <row r="131" spans="1:49" x14ac:dyDescent="0.3">
      <c r="A131" s="5" t="s">
        <v>23</v>
      </c>
      <c r="B131" s="20"/>
      <c r="C131" s="20"/>
      <c r="D131" s="20"/>
      <c r="E131" s="21" t="str">
        <f>IFERROR(VLOOKUP(D131,[1]Données!A:B,2,FALSE),"")</f>
        <v/>
      </c>
      <c r="F131" s="23">
        <f t="shared" si="55"/>
        <v>0</v>
      </c>
      <c r="G131" s="22"/>
      <c r="H131" s="20"/>
      <c r="I131" s="21">
        <f t="shared" ref="I131:I135" si="56">SUM(P131:AT131)</f>
        <v>0</v>
      </c>
      <c r="J131" s="24" t="str">
        <f t="shared" ref="J131:J135" si="57">IFERROR(I131/H131,"")</f>
        <v/>
      </c>
      <c r="K131" s="25"/>
      <c r="L131" s="26">
        <f t="shared" ref="L131:L135" si="58">IFERROR((K131*1.25)*G131,"")</f>
        <v>0</v>
      </c>
      <c r="M131" s="27" t="str">
        <f t="shared" ref="M131:M135" si="59">IF($E131="Méca",I131*G131+L131,"")</f>
        <v/>
      </c>
      <c r="N131" s="28" t="str">
        <f t="shared" ref="N131:N135" si="60">IF($E131="Calcul",I131*G131+L131,"")</f>
        <v/>
      </c>
      <c r="O131" s="29" t="str">
        <f t="shared" ref="O131:O135" si="61">IF($E131="Elec",I131*G131+L131,"")</f>
        <v/>
      </c>
      <c r="U131" s="6"/>
      <c r="V131" s="6"/>
      <c r="AB131" s="6"/>
      <c r="AC131" s="6"/>
      <c r="AI131" s="6"/>
      <c r="AJ131" s="6"/>
      <c r="AP131" s="6"/>
      <c r="AQ131" s="6"/>
      <c r="AV131" s="5">
        <v>0</v>
      </c>
      <c r="AW131" s="19">
        <f t="shared" si="47"/>
        <v>0</v>
      </c>
    </row>
    <row r="132" spans="1:49" x14ac:dyDescent="0.3">
      <c r="A132" s="5" t="s">
        <v>23</v>
      </c>
      <c r="B132" s="20"/>
      <c r="C132" s="20"/>
      <c r="D132" s="20"/>
      <c r="E132" s="21" t="str">
        <f>IFERROR(VLOOKUP(D132,[1]Données!A:B,2,FALSE),"")</f>
        <v/>
      </c>
      <c r="F132" s="23">
        <f t="shared" si="55"/>
        <v>0</v>
      </c>
      <c r="G132" s="22"/>
      <c r="H132" s="20"/>
      <c r="I132" s="21">
        <f t="shared" si="56"/>
        <v>0</v>
      </c>
      <c r="J132" s="24" t="str">
        <f t="shared" si="57"/>
        <v/>
      </c>
      <c r="K132" s="25"/>
      <c r="L132" s="26">
        <f t="shared" si="58"/>
        <v>0</v>
      </c>
      <c r="M132" s="27" t="str">
        <f t="shared" si="59"/>
        <v/>
      </c>
      <c r="N132" s="28" t="str">
        <f t="shared" si="60"/>
        <v/>
      </c>
      <c r="O132" s="29" t="str">
        <f t="shared" si="61"/>
        <v/>
      </c>
      <c r="U132" s="6"/>
      <c r="V132" s="6"/>
      <c r="AB132" s="6"/>
      <c r="AC132" s="6"/>
      <c r="AI132" s="6"/>
      <c r="AJ132" s="6"/>
      <c r="AP132" s="6"/>
      <c r="AQ132" s="6"/>
      <c r="AV132" s="5">
        <v>0</v>
      </c>
      <c r="AW132" s="19">
        <f t="shared" si="47"/>
        <v>0</v>
      </c>
    </row>
    <row r="133" spans="1:49" x14ac:dyDescent="0.3">
      <c r="A133" s="5" t="s">
        <v>23</v>
      </c>
      <c r="B133" s="20"/>
      <c r="C133" s="20"/>
      <c r="D133" s="20"/>
      <c r="E133" s="21"/>
      <c r="F133" s="23">
        <v>0</v>
      </c>
      <c r="G133" s="22"/>
      <c r="H133" s="20"/>
      <c r="I133" s="21">
        <f t="shared" si="56"/>
        <v>0</v>
      </c>
      <c r="J133" s="24" t="str">
        <f t="shared" si="57"/>
        <v/>
      </c>
      <c r="K133" s="25"/>
      <c r="L133" s="26">
        <f t="shared" si="58"/>
        <v>0</v>
      </c>
      <c r="M133" s="27" t="str">
        <f t="shared" si="59"/>
        <v/>
      </c>
      <c r="N133" s="28" t="str">
        <f t="shared" si="60"/>
        <v/>
      </c>
      <c r="O133" s="29" t="str">
        <f t="shared" si="61"/>
        <v/>
      </c>
      <c r="U133" s="6"/>
      <c r="V133" s="6"/>
      <c r="AB133" s="6"/>
      <c r="AC133" s="6"/>
      <c r="AI133" s="6"/>
      <c r="AJ133" s="6"/>
      <c r="AP133" s="6"/>
      <c r="AQ133" s="6"/>
      <c r="AV133" s="5">
        <v>0</v>
      </c>
      <c r="AW133" s="19">
        <f>AV133-I133</f>
        <v>0</v>
      </c>
    </row>
    <row r="134" spans="1:49" x14ac:dyDescent="0.3">
      <c r="A134" s="5" t="s">
        <v>23</v>
      </c>
      <c r="B134" s="20"/>
      <c r="C134" s="20"/>
      <c r="D134" s="20"/>
      <c r="E134" s="21" t="str">
        <f>IFERROR(VLOOKUP(D134,[1]Données!A:B,2,FALSE),"")</f>
        <v/>
      </c>
      <c r="F134" s="23">
        <f t="shared" ref="F134:F135" si="62">G134*H134</f>
        <v>0</v>
      </c>
      <c r="G134" s="22"/>
      <c r="H134" s="20"/>
      <c r="I134" s="21">
        <f t="shared" si="56"/>
        <v>0</v>
      </c>
      <c r="J134" s="24" t="str">
        <f t="shared" si="57"/>
        <v/>
      </c>
      <c r="K134" s="25"/>
      <c r="L134" s="26">
        <f t="shared" si="58"/>
        <v>0</v>
      </c>
      <c r="M134" s="27" t="str">
        <f t="shared" si="59"/>
        <v/>
      </c>
      <c r="N134" s="28" t="str">
        <f t="shared" si="60"/>
        <v/>
      </c>
      <c r="O134" s="29" t="str">
        <f t="shared" si="61"/>
        <v/>
      </c>
      <c r="U134" s="6"/>
      <c r="V134" s="6"/>
      <c r="AB134" s="6"/>
      <c r="AC134" s="6"/>
      <c r="AI134" s="6"/>
      <c r="AJ134" s="6"/>
      <c r="AP134" s="6"/>
      <c r="AQ134" s="6"/>
      <c r="AV134" s="5">
        <v>0</v>
      </c>
      <c r="AW134" s="19">
        <f>AV134-I134</f>
        <v>0</v>
      </c>
    </row>
    <row r="135" spans="1:49" x14ac:dyDescent="0.3">
      <c r="A135" s="5" t="s">
        <v>23</v>
      </c>
      <c r="B135" s="20"/>
      <c r="C135" s="20"/>
      <c r="D135" s="20"/>
      <c r="E135" s="21" t="str">
        <f>IFERROR(VLOOKUP(D135,[1]Données!A:B,2,FALSE),"")</f>
        <v/>
      </c>
      <c r="F135" s="23">
        <f t="shared" si="62"/>
        <v>0</v>
      </c>
      <c r="G135" s="22"/>
      <c r="H135" s="20"/>
      <c r="I135" s="21">
        <f t="shared" si="56"/>
        <v>0</v>
      </c>
      <c r="J135" s="24" t="str">
        <f t="shared" si="57"/>
        <v/>
      </c>
      <c r="K135" s="25"/>
      <c r="L135" s="26">
        <f t="shared" si="58"/>
        <v>0</v>
      </c>
      <c r="M135" s="27" t="str">
        <f t="shared" si="59"/>
        <v/>
      </c>
      <c r="N135" s="28" t="str">
        <f t="shared" si="60"/>
        <v/>
      </c>
      <c r="O135" s="29" t="str">
        <f t="shared" si="61"/>
        <v/>
      </c>
      <c r="U135" s="6"/>
      <c r="V135" s="6"/>
      <c r="AB135" s="6"/>
      <c r="AC135" s="6"/>
      <c r="AI135" s="6"/>
      <c r="AJ135" s="6"/>
      <c r="AP135" s="6"/>
      <c r="AQ135" s="6"/>
    </row>
    <row r="136" spans="1:49" ht="15.6" x14ac:dyDescent="0.3">
      <c r="I136" s="5">
        <f>SUM(I113:I123)+SUM(I125:I135)</f>
        <v>0</v>
      </c>
      <c r="M136" s="37">
        <f>SUM(M113:M135)</f>
        <v>0</v>
      </c>
      <c r="N136" s="38">
        <f>SUM(N113:N135)</f>
        <v>0</v>
      </c>
      <c r="O136" s="39">
        <f>SUM(O113:O135)</f>
        <v>0</v>
      </c>
    </row>
    <row r="137" spans="1:49" x14ac:dyDescent="0.3">
      <c r="K137" s="40" t="e">
        <f>(M136+N136+O136)/I136</f>
        <v>#DIV/0!</v>
      </c>
    </row>
  </sheetData>
  <mergeCells count="29">
    <mergeCell ref="M1:M3"/>
    <mergeCell ref="A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N1:N3"/>
    <mergeCell ref="O1:O3"/>
    <mergeCell ref="AV1:AV3"/>
    <mergeCell ref="AW1:AW3"/>
    <mergeCell ref="P3:V3"/>
    <mergeCell ref="W3:AC3"/>
    <mergeCell ref="AD3:AJ3"/>
    <mergeCell ref="AK3:AQ3"/>
    <mergeCell ref="AR3:AT3"/>
    <mergeCell ref="A112:AT112"/>
    <mergeCell ref="A124:AT124"/>
    <mergeCell ref="A4:AT4"/>
    <mergeCell ref="A22:AT22"/>
    <mergeCell ref="A79:AT80"/>
    <mergeCell ref="A82:AT82"/>
    <mergeCell ref="A94:AT94"/>
    <mergeCell ref="A109:AT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Juin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Pierre-Laurent GAUFIER</dc:creator>
  <cp:lastModifiedBy>Pierre-Laurent GAUFIER</cp:lastModifiedBy>
  <dcterms:created xsi:type="dcterms:W3CDTF">2026-10-18T12:58:01Z</dcterms:created>
  <dcterms:modified xsi:type="dcterms:W3CDTF">2026-10-18T13:20:20Z</dcterms:modified>
</cp:coreProperties>
</file>